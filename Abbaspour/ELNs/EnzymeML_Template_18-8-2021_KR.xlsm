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E757BCB4-07E6-AE0B-56E0-F0EEF7A6E26C}"/>
  <workbookPr codeName="DieseArbeitsmappe"/>
  <mc:AlternateContent xmlns:mc="http://schemas.openxmlformats.org/markup-compatibility/2006">
    <mc:Choice Requires="x15">
      <x15ac:absPath xmlns:x15ac="http://schemas.microsoft.com/office/spreadsheetml/2010/11/ac" url="C:\Users\smaxbehr\Documents\GitHub\NFDI\Abschlussarbeiten_Behr\Abbaspour\ELNs\"/>
    </mc:Choice>
  </mc:AlternateContent>
  <bookViews>
    <workbookView xWindow="28680" yWindow="-120" windowWidth="29040" windowHeight="15840" firstSheet="4" activeTab="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1" i="6" l="1"/>
  <c r="H47" i="6"/>
  <c r="H43" i="6"/>
  <c r="H39" i="6"/>
  <c r="H35" i="6"/>
  <c r="H31" i="6"/>
  <c r="H27" i="6"/>
  <c r="H23" i="6"/>
  <c r="H19" i="6"/>
  <c r="H15" i="6"/>
  <c r="H11" i="6"/>
  <c r="H7" i="6"/>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 r="K27" i="7"/>
  <c r="K26" i="7"/>
  <c r="K25" i="7"/>
  <c r="K24" i="7"/>
  <c r="K23" i="7"/>
  <c r="K22" i="7"/>
  <c r="K21" i="7"/>
  <c r="K20" i="7"/>
  <c r="K19" i="7"/>
  <c r="K18" i="7"/>
  <c r="K17" i="7"/>
  <c r="K16" i="7"/>
  <c r="K15" i="7"/>
  <c r="K14" i="7"/>
  <c r="K13" i="7"/>
  <c r="K12" i="7"/>
  <c r="K11" i="7"/>
  <c r="K10" i="7"/>
  <c r="K9" i="7"/>
  <c r="I27" i="7"/>
  <c r="I26" i="7"/>
  <c r="I25" i="7"/>
  <c r="I24" i="7"/>
  <c r="I23" i="7"/>
  <c r="I22" i="7"/>
  <c r="I21" i="7"/>
  <c r="I20" i="7"/>
  <c r="I19" i="7"/>
  <c r="I18" i="7"/>
  <c r="I17" i="7"/>
  <c r="I16" i="7"/>
  <c r="I15" i="7"/>
  <c r="I14" i="7"/>
  <c r="I13" i="7"/>
  <c r="I12" i="7"/>
  <c r="I11" i="7"/>
  <c r="I10" i="7"/>
  <c r="I9"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<sst xmlns="http://schemas.openxmlformats.org/spreadsheetml/2006/main" count="629" uniqueCount="219">
  <si>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</si>
  <si>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</si>
  <si>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</si>
  <si>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</si>
  <si>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</si>
  <si>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</si>
  <si>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</si>
  <si>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</si>
  <si>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</si>
  <si>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</si>
  <si>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</si>
  <si>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</si>
  <si>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</si>
  <si>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</si>
  <si>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</si>
  <si>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</si>
  <si>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</si>
  <si>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</si>
  <si>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</si>
  <si>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</si>
  <si>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</si>
  <si>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</si>
  <si>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</si>
  <si>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</si>
  <si>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</si>
  <si>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</si>
  <si>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</si>
  <si>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</si>
  <si>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</si>
  <si>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</si>
  <si>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</si>
  <si>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</si>
  <si>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</si>
  <si>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</si>
  <si>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</si>
  <si>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</si>
  <si>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</si>
  <si>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</si>
  <si>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</si>
  <si>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</si>
  <si>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</si>
  <si>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</si>
  <si>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</si>
  <si>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</si>
  <si>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</si>
  <si>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</si>
  <si>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</si>
  <si>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</si>
  <si>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</si>
  <si>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</si>
  <si>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</si>
  <si>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</si>
  <si>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</si>
  <si>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</si>
  <si>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</si>
  <si>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</si>
  <si>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</si>
  <si>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</si>
  <si>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</si>
  <si>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</si>
  <si>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</si>
  <si>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</si>
  <si>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</si>
  <si>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</si>
  <si>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</si>
  <si>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</si>
  <si>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</si>
  <si>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</si>
  <si>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</si>
  <si>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</si>
  <si>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</si>
  <si>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</si>
  <si>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</si>
  <si>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</si>
  <si>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</si>
  <si>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</si>
  <si>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</si>
  <si>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</si>
  <si>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</si>
  <si>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</si>
  <si>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</si>
  <si>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</si>
  <si>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</si>
  <si>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</si>
  <si>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</si>
  <si>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</si>
  <si>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</si>
  <si>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</si>
  <si>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</si>
  <si>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</si>
  <si>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</si>
  <si>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</si>
  <si>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</si>
  <si>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</si>
  <si>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</si>
  <si>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</si>
  <si>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</si>
  <si>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</si>
  <si>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</si>
  <si>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</si>
  <si>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</si>
  <si>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</si>
  <si>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</si>
  <si>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</si>
  <si>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</si>
  <si>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</si>
  <si>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</si>
  <si>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</si>
  <si>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</si>
  <si>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</si>
  <si>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</si>
  <si>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</si>
  <si>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</si>
  <si>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</si>
  <si>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</si>
  <si>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</si>
  <si>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</si>
  <si>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</si>
  <si>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</si>
  <si>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</si>
  <si>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</si>
  <si>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</si>
  <si>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</si>
  <si>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</si>
  <si>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</si>
  <si>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</si>
  <si>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</si>
  <si>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</si>
  <si>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</si>
  <si>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</si>
  <si>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</si>
  <si>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</si>
  <si>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</si>
  <si>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</si>
  <si>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</si>
  <si>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</si>
  <si>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</si>
  <si>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</si>
  <si>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</si>
  <si>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</si>
  <si>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</si>
  <si>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</si>
  <si>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</si>
  <si>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</si>
  <si>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</si>
  <si>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</si>
  <si>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</si>
  <si>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</si>
  <si>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</si>
  <si>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</si>
  <si>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</si>
  <si>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</si>
  <si>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</si>
  <si>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</si>
  <si>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</si>
  <si>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</si>
  <si>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</si>
  <si>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p1*kcat*s1 / (Km+s1)</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</si>
  <si>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</si>
  <si>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</si>
  <si>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</si>
  <si>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</si>
  <si>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</si>
  <si>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</si>
  <si>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</si>
  <si>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</si>
  <si>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</si>
  <si>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</si>
  <si>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</si>
  <si>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</si>
  <si>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</si>
  <si>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</si>
  <si>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</si>
  <si>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</si>
  <si>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</si>
  <si>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</si>
  <si>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</si>
  <si>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</si>
  <si>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</si>
  <si>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</si>
  <si>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</si>
  <si>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</si>
  <si>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</si>
  <si>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</si>
  <si>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</si>
  <si>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</si>
  <si>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</si>
  <si>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</si>
  <si>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</si>
  <si>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</si>
  <si>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Helical tube reactor</t>
  </si>
  <si>
    <t>Straight tube reactor</t>
  </si>
  <si>
    <t>oxygen</t>
  </si>
  <si>
    <t>Laccase</t>
  </si>
  <si>
    <t>MGLQRFSFFVTLALVARSLAAIGPVASFVVANAPVSPDGFLRDAIVVNGVVPSPLIRAKK
GDRFQLNVVDTLTNHSMLKSTSIHWHGFFQAGTNWADGPAFVNQCPIASGHSFLYDFHVP
DQAGTFWYHSHLSTQYCDGLRGPFVVYDPKDPHASRYDVDNESTVITLTDWYHTAARLGP
RFPLGADATVINGLGRSASTPTAALAVINVQHGKRYRFRLVSISCDPNYTFSIDGHNLTV
IEVDGINSQPLLVDSIQIFAAQRYSFVLNANQTVGNYWVRANPNFGTVGFAGGINSAILR
YQGAPVAEPTTTQTPSVIPLIETNLHPLARMPVPGTRTPGGVDKALKLAFNFNGTNFFIN
NASFTPPTVPVLLQILSGAQTAQELLPAGSVYPLPAHSTIEITLPATALAPGAPHPFHLH
GHAFAVVRSAGSTTYNYNDPIFRDVVSTGTPAAGDNVTIRFQTDNLGPWFLHCHIDFHLE
AGFAIVFAEDVADVKAANPVPKAWSDLCPIYDGLSEADQ</t>
  </si>
  <si>
    <t>Trametes versicolor</t>
  </si>
  <si>
    <t>1.10.3.2</t>
  </si>
  <si>
    <t>D2CSE5</t>
  </si>
  <si>
    <t>ABTS reduced</t>
  </si>
  <si>
    <t>ABTS oxidized</t>
  </si>
  <si>
    <t>ABTS reduced, oxygen</t>
  </si>
  <si>
    <t>ABTS oxidation, HTR</t>
  </si>
  <si>
    <t>ABTS oxidation, SCR</t>
  </si>
  <si>
    <t>Laccase, HTR</t>
  </si>
  <si>
    <t>Laccase, SCR</t>
  </si>
  <si>
    <t>ABTS reduced, oxygen, ABTS oxidized</t>
  </si>
  <si>
    <t>Rosenthal</t>
  </si>
  <si>
    <t xml:space="preserve">Katrin </t>
  </si>
  <si>
    <t>katrin.rosenthal@tu-dortmund.de</t>
  </si>
  <si>
    <t>Department of Biochemical and Chemical Engineering, TU Dortmund University</t>
  </si>
  <si>
    <t>ABTS Oxidation</t>
  </si>
  <si>
    <t>Laccase; Helically Coiled Reactor (HCR) &amp; Straight Capillary Reactor (SCR)</t>
  </si>
  <si>
    <t>p2*kcat*s3 / (Km+s3)</t>
  </si>
  <si>
    <t>,</t>
  </si>
  <si>
    <t>ABTS-Oxidation</t>
  </si>
  <si>
    <t>CC[N+]1\\C(SC2=C1C=CC(=C2)[S]([O-])(=O)=O)=N\\N=C4/SC3=C(C=CC(=C3)[S]([O-])(=O)=O)N4CC</t>
  </si>
  <si>
    <t>CCN1\\C(SC2=C1C=CC(=C2)[S]([O-])(=O)=O)=N\\N=C4/SC3=C(C=CC(=C3)[S]([O-])(=O)=O)N4CC</t>
  </si>
  <si>
    <t>O=O</t>
  </si>
  <si>
    <t>InChI=1S/O2/c1-2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</si>
</sst>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6">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0" fillId="0" borderId="10"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4"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2" xfId="0" applyFont="1" applyBorder="1" applyAlignment="1">
      <alignment horizontal="left" vertic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atrin.rosenthal@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4" tint="0.39997558519241921"/>
  </sheetPr>
  <dimension ref="A1:F862"/>
  <sheetViews>
    <sheetView showGridLines="0" topLeftCell="A2" zoomScaleNormal="100" workbookViewId="0">
      <selection activeCell="B3" sqref="B3:D3"/>
    </sheetView>
  </sheetViews>
  <sheetFormatPr defaultColWidth="35.7109375" defaultRowHeight="15" x14ac:dyDescent="0.25"/>
  <sheetData>
    <row r="1" spans="1:6" ht="99.75" customHeight="1" x14ac:dyDescent="0.25">
      <c r="A1" s="54" t="s">
        <v>174</v>
      </c>
      <c r="B1" s="2"/>
      <c r="C1" s="53"/>
      <c r="D1" s="1"/>
      <c r="E1" s="1"/>
      <c r="F1" s="1"/>
    </row>
    <row r="2" spans="1:6" ht="35.1" customHeight="1" x14ac:dyDescent="0.25">
      <c r="A2" s="67" t="s">
        <v>134</v>
      </c>
      <c r="B2" s="67"/>
      <c r="C2" s="67"/>
      <c r="D2" s="67"/>
      <c r="E2" s="1"/>
      <c r="F2" s="1"/>
    </row>
    <row r="3" spans="1:6" ht="25.15" customHeight="1" x14ac:dyDescent="0.25">
      <c r="A3" s="28" t="s">
        <v>0</v>
      </c>
      <c r="B3" s="68" t="s">
        <v>211</v>
      </c>
      <c r="C3" s="69"/>
      <c r="D3" s="70"/>
      <c r="E3" s="1"/>
      <c r="F3" s="1"/>
    </row>
    <row r="4" spans="1:6" ht="25.15" customHeight="1" x14ac:dyDescent="0.25">
      <c r="A4" s="28" t="s">
        <v>178</v>
      </c>
      <c r="B4" s="77">
        <v>44426</v>
      </c>
      <c r="C4" s="78"/>
      <c r="D4" s="79"/>
      <c r="E4" s="1"/>
      <c r="F4" s="1"/>
    </row>
    <row r="5" spans="1:6" ht="25.15" customHeight="1" x14ac:dyDescent="0.25">
      <c r="A5" s="26" t="s">
        <v>175</v>
      </c>
      <c r="B5" s="71"/>
      <c r="C5" s="72"/>
      <c r="D5" s="73"/>
      <c r="E5" s="1"/>
      <c r="F5" s="1"/>
    </row>
    <row r="6" spans="1:6" ht="25.15" customHeight="1" x14ac:dyDescent="0.25">
      <c r="A6" s="26" t="s">
        <v>176</v>
      </c>
      <c r="B6" s="71"/>
      <c r="C6" s="72"/>
      <c r="D6" s="73"/>
      <c r="E6" s="1"/>
      <c r="F6" s="1"/>
    </row>
    <row r="7" spans="1:6" ht="25.15" customHeight="1" x14ac:dyDescent="0.25">
      <c r="A7" s="26" t="s">
        <v>177</v>
      </c>
      <c r="B7" s="74"/>
      <c r="C7" s="75"/>
      <c r="D7" s="76"/>
      <c r="E7" s="1"/>
      <c r="F7" s="1"/>
    </row>
    <row r="8" spans="1:6" ht="25.15" customHeight="1" x14ac:dyDescent="0.25">
      <c r="A8" s="1"/>
      <c r="B8" s="1"/>
      <c r="C8" s="1"/>
      <c r="D8" s="1"/>
      <c r="E8" s="1"/>
      <c r="F8" s="1"/>
    </row>
    <row r="9" spans="1:6" ht="35.1" customHeight="1" x14ac:dyDescent="0.25">
      <c r="A9" s="67" t="s">
        <v>135</v>
      </c>
      <c r="B9" s="67"/>
      <c r="C9" s="67"/>
      <c r="D9" s="67"/>
      <c r="E9" s="1"/>
      <c r="F9" s="1"/>
    </row>
    <row r="10" spans="1:6" ht="35.1" customHeight="1" x14ac:dyDescent="0.25">
      <c r="A10" s="28" t="s">
        <v>1</v>
      </c>
      <c r="B10" s="28" t="s">
        <v>2</v>
      </c>
      <c r="C10" s="28" t="s">
        <v>3</v>
      </c>
      <c r="D10" s="28" t="s">
        <v>64</v>
      </c>
      <c r="E10" s="1"/>
      <c r="F10" s="1"/>
    </row>
    <row r="11" spans="1:6" ht="25.15" customHeight="1" x14ac:dyDescent="0.25">
      <c r="A11" s="27" t="s">
        <v>206</v>
      </c>
      <c r="B11" s="27" t="s">
        <v>207</v>
      </c>
      <c r="C11" s="29" t="s">
        <v>208</v>
      </c>
      <c r="D11" s="40" t="s">
        <v>209</v>
      </c>
      <c r="E11" s="1"/>
      <c r="F11" s="1"/>
    </row>
    <row r="12" spans="1:6" ht="25.15" customHeight="1" x14ac:dyDescent="0.25">
      <c r="A12" s="27"/>
      <c r="B12" s="27"/>
      <c r="C12" s="29"/>
      <c r="D12" s="40"/>
      <c r="E12" s="1"/>
      <c r="F12" s="1"/>
    </row>
    <row r="13" spans="1:6" ht="25.15" customHeight="1" x14ac:dyDescent="0.25">
      <c r="A13" s="30"/>
      <c r="B13" s="30"/>
      <c r="C13" s="30"/>
      <c r="D13" s="30"/>
      <c r="E13" s="1"/>
      <c r="F13" s="1"/>
    </row>
    <row r="14" spans="1:6" ht="25.15" customHeight="1" x14ac:dyDescent="0.25">
      <c r="A14" s="30"/>
      <c r="B14" s="30"/>
      <c r="C14" s="30"/>
      <c r="D14" s="30"/>
      <c r="E14" s="1"/>
      <c r="F14" s="1"/>
    </row>
    <row r="15" spans="1:6" ht="25.15" customHeight="1" x14ac:dyDescent="0.25">
      <c r="A15" s="30"/>
      <c r="B15" s="30"/>
      <c r="C15" s="30"/>
      <c r="D15" s="30"/>
      <c r="E15" s="1"/>
      <c r="F15" s="1"/>
    </row>
    <row r="16" spans="1:6" ht="25.15" customHeight="1" x14ac:dyDescent="0.25">
      <c r="A16" s="30"/>
      <c r="B16" s="30"/>
      <c r="C16" s="30"/>
      <c r="D16" s="30"/>
      <c r="E16" s="1"/>
      <c r="F16" s="1"/>
    </row>
    <row r="17" spans="1:6" ht="25.15" customHeight="1" x14ac:dyDescent="0.25">
      <c r="A17" s="10"/>
      <c r="B17" s="10"/>
      <c r="C17" s="10"/>
      <c r="D17" s="10"/>
      <c r="E17" s="1"/>
      <c r="F17" s="1"/>
    </row>
    <row r="18" spans="1:6" ht="25.15" customHeight="1" x14ac:dyDescent="0.25">
      <c r="A18" s="2"/>
      <c r="B18" s="2"/>
      <c r="C18" s="2"/>
      <c r="D18" s="2"/>
      <c r="E18" s="1"/>
      <c r="F18" s="1"/>
    </row>
    <row r="19" spans="1:6" ht="25.15" customHeight="1" x14ac:dyDescent="0.25">
      <c r="A19" s="2"/>
      <c r="B19" s="2"/>
      <c r="C19" s="2"/>
      <c r="D19" s="2"/>
      <c r="E19" s="1"/>
      <c r="F19" s="1"/>
    </row>
    <row r="20" spans="1:6" ht="25.15" customHeight="1" x14ac:dyDescent="0.25">
      <c r="A20" s="1"/>
      <c r="B20" s="1"/>
      <c r="C20" s="1"/>
      <c r="D20" s="1"/>
      <c r="E20" s="1"/>
      <c r="F20" s="1"/>
    </row>
    <row r="21" spans="1:6" ht="25.15" customHeight="1" x14ac:dyDescent="0.25">
      <c r="A21" s="1"/>
      <c r="B21" s="1"/>
      <c r="C21" s="1"/>
      <c r="D21" s="1"/>
      <c r="E21" s="1"/>
      <c r="F21" s="1"/>
    </row>
    <row r="22" spans="1:6" ht="25.15" customHeight="1" x14ac:dyDescent="0.25">
      <c r="B22" s="1"/>
      <c r="C22" s="1"/>
      <c r="D22" s="1"/>
      <c r="E22" s="1"/>
      <c r="F22" s="1"/>
    </row>
    <row r="23" spans="1:6" ht="25.15" customHeight="1" x14ac:dyDescent="0.25"/>
    <row r="24" spans="1:6" ht="25.15" customHeight="1" x14ac:dyDescent="0.25"/>
    <row r="25" spans="1:6" ht="25.15" customHeight="1" x14ac:dyDescent="0.25"/>
    <row r="26" spans="1:6" ht="25.15" customHeight="1" x14ac:dyDescent="0.25">
      <c r="A26" t="s">
        <v>59</v>
      </c>
    </row>
    <row r="27" spans="1:6" ht="25.15" customHeight="1" x14ac:dyDescent="0.25"/>
    <row r="28" spans="1:6" ht="25.15" customHeight="1" x14ac:dyDescent="0.25"/>
    <row r="29" spans="1:6" ht="25.15" customHeight="1" x14ac:dyDescent="0.25"/>
    <row r="30" spans="1:6" ht="25.15" customHeight="1" x14ac:dyDescent="0.25"/>
    <row r="31" spans="1:6" ht="25.15" customHeight="1" x14ac:dyDescent="0.25"/>
    <row r="32" spans="1:6"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row r="402" ht="25.15" customHeight="1" x14ac:dyDescent="0.25"/>
    <row r="403" ht="25.15" customHeight="1" x14ac:dyDescent="0.25"/>
    <row r="404" ht="25.15" customHeight="1" x14ac:dyDescent="0.25"/>
    <row r="405" ht="25.15" customHeight="1" x14ac:dyDescent="0.25"/>
    <row r="406" ht="25.15" customHeight="1" x14ac:dyDescent="0.25"/>
    <row r="407" ht="25.15" customHeight="1" x14ac:dyDescent="0.25"/>
    <row r="408" ht="25.15" customHeight="1" x14ac:dyDescent="0.25"/>
    <row r="409" ht="25.15" customHeight="1" x14ac:dyDescent="0.25"/>
    <row r="410" ht="25.15" customHeight="1" x14ac:dyDescent="0.25"/>
    <row r="411" ht="25.15" customHeight="1" x14ac:dyDescent="0.25"/>
    <row r="412" ht="25.15" customHeight="1" x14ac:dyDescent="0.25"/>
    <row r="413" ht="25.15" customHeight="1" x14ac:dyDescent="0.25"/>
    <row r="414" ht="25.15" customHeight="1" x14ac:dyDescent="0.25"/>
    <row r="415" ht="25.15" customHeight="1" x14ac:dyDescent="0.25"/>
    <row r="416" ht="25.15" customHeight="1" x14ac:dyDescent="0.25"/>
    <row r="417" ht="25.15" customHeight="1" x14ac:dyDescent="0.25"/>
    <row r="418" ht="25.15" customHeight="1" x14ac:dyDescent="0.25"/>
    <row r="419" ht="25.15" customHeight="1" x14ac:dyDescent="0.25"/>
    <row r="420" ht="25.15" customHeight="1" x14ac:dyDescent="0.25"/>
    <row r="421" ht="25.15" customHeight="1" x14ac:dyDescent="0.25"/>
    <row r="422" ht="25.15" customHeight="1" x14ac:dyDescent="0.25"/>
    <row r="423" ht="25.15" customHeight="1" x14ac:dyDescent="0.25"/>
    <row r="424" ht="25.15" customHeight="1" x14ac:dyDescent="0.25"/>
    <row r="425" ht="25.15" customHeight="1" x14ac:dyDescent="0.25"/>
    <row r="426" ht="25.15" customHeight="1" x14ac:dyDescent="0.25"/>
    <row r="427" ht="25.15" customHeight="1" x14ac:dyDescent="0.25"/>
    <row r="428" ht="25.15" customHeight="1" x14ac:dyDescent="0.25"/>
    <row r="429" ht="25.15" customHeight="1" x14ac:dyDescent="0.25"/>
    <row r="430" ht="25.15" customHeight="1" x14ac:dyDescent="0.25"/>
    <row r="431" ht="25.15" customHeight="1" x14ac:dyDescent="0.25"/>
    <row r="432" ht="25.15" customHeight="1" x14ac:dyDescent="0.25"/>
    <row r="433" ht="25.15" customHeight="1" x14ac:dyDescent="0.25"/>
    <row r="434" ht="25.15" customHeight="1" x14ac:dyDescent="0.25"/>
    <row r="435" ht="25.15" customHeight="1" x14ac:dyDescent="0.25"/>
    <row r="436" ht="25.15" customHeight="1" x14ac:dyDescent="0.25"/>
    <row r="437" ht="25.15" customHeight="1" x14ac:dyDescent="0.25"/>
    <row r="438" ht="25.15" customHeight="1" x14ac:dyDescent="0.25"/>
    <row r="439" ht="25.15" customHeight="1" x14ac:dyDescent="0.25"/>
    <row r="440" ht="25.15" customHeight="1" x14ac:dyDescent="0.25"/>
    <row r="441" ht="25.15" customHeight="1" x14ac:dyDescent="0.25"/>
    <row r="442" ht="25.15" customHeight="1" x14ac:dyDescent="0.25"/>
    <row r="443" ht="25.15" customHeight="1" x14ac:dyDescent="0.25"/>
    <row r="444" ht="25.15" customHeight="1" x14ac:dyDescent="0.25"/>
    <row r="445" ht="25.15" customHeight="1" x14ac:dyDescent="0.25"/>
    <row r="446" ht="25.15" customHeight="1" x14ac:dyDescent="0.25"/>
    <row r="447" ht="25.15" customHeight="1" x14ac:dyDescent="0.25"/>
    <row r="448" ht="25.15" customHeight="1" x14ac:dyDescent="0.25"/>
    <row r="449" ht="25.15" customHeight="1" x14ac:dyDescent="0.25"/>
    <row r="450" ht="25.15" customHeight="1" x14ac:dyDescent="0.25"/>
    <row r="451" ht="25.15" customHeight="1" x14ac:dyDescent="0.25"/>
    <row r="452" ht="25.15" customHeight="1" x14ac:dyDescent="0.25"/>
    <row r="453" ht="25.15" customHeight="1" x14ac:dyDescent="0.25"/>
    <row r="454" ht="25.15" customHeight="1" x14ac:dyDescent="0.25"/>
    <row r="455" ht="25.15" customHeight="1" x14ac:dyDescent="0.25"/>
    <row r="456" ht="25.15" customHeight="1" x14ac:dyDescent="0.25"/>
    <row r="457" ht="25.15" customHeight="1" x14ac:dyDescent="0.25"/>
    <row r="458" ht="25.15" customHeight="1" x14ac:dyDescent="0.25"/>
    <row r="459" ht="25.15" customHeight="1" x14ac:dyDescent="0.25"/>
    <row r="460" ht="25.15" customHeight="1" x14ac:dyDescent="0.25"/>
    <row r="461" ht="25.15" customHeight="1" x14ac:dyDescent="0.25"/>
    <row r="462" ht="25.15" customHeight="1" x14ac:dyDescent="0.25"/>
    <row r="463" ht="25.15" customHeight="1" x14ac:dyDescent="0.25"/>
    <row r="464" ht="25.15" customHeight="1" x14ac:dyDescent="0.25"/>
    <row r="465" ht="25.15" customHeight="1" x14ac:dyDescent="0.25"/>
    <row r="466" ht="25.15" customHeight="1" x14ac:dyDescent="0.25"/>
    <row r="467" ht="25.15" customHeight="1" x14ac:dyDescent="0.25"/>
    <row r="468" ht="25.15" customHeight="1" x14ac:dyDescent="0.25"/>
    <row r="469" ht="25.15" customHeight="1" x14ac:dyDescent="0.25"/>
    <row r="470" ht="25.15" customHeight="1" x14ac:dyDescent="0.25"/>
    <row r="471" ht="25.15" customHeight="1" x14ac:dyDescent="0.25"/>
    <row r="472" ht="25.15" customHeight="1" x14ac:dyDescent="0.25"/>
    <row r="473" ht="25.15" customHeight="1" x14ac:dyDescent="0.25"/>
    <row r="474" ht="25.15" customHeight="1" x14ac:dyDescent="0.25"/>
    <row r="475" ht="25.15" customHeight="1" x14ac:dyDescent="0.25"/>
    <row r="476" ht="25.15" customHeight="1" x14ac:dyDescent="0.25"/>
    <row r="477" ht="25.15" customHeight="1" x14ac:dyDescent="0.25"/>
    <row r="478" ht="25.15" customHeight="1" x14ac:dyDescent="0.25"/>
    <row r="479" ht="25.15" customHeight="1" x14ac:dyDescent="0.25"/>
    <row r="480" ht="25.15" customHeight="1" x14ac:dyDescent="0.25"/>
    <row r="481" ht="25.15" customHeight="1" x14ac:dyDescent="0.25"/>
    <row r="482" ht="25.15" customHeight="1" x14ac:dyDescent="0.25"/>
    <row r="483" ht="25.15" customHeight="1" x14ac:dyDescent="0.25"/>
    <row r="484" ht="25.15" customHeight="1" x14ac:dyDescent="0.25"/>
    <row r="485" ht="25.15" customHeight="1" x14ac:dyDescent="0.25"/>
    <row r="486" ht="25.15" customHeight="1" x14ac:dyDescent="0.25"/>
    <row r="487" ht="25.15" customHeight="1" x14ac:dyDescent="0.25"/>
    <row r="488" ht="25.15" customHeight="1" x14ac:dyDescent="0.25"/>
    <row r="489" ht="25.15" customHeight="1" x14ac:dyDescent="0.25"/>
    <row r="490" ht="25.15" customHeight="1" x14ac:dyDescent="0.25"/>
    <row r="491" ht="25.15" customHeight="1" x14ac:dyDescent="0.25"/>
    <row r="492" ht="25.15" customHeight="1" x14ac:dyDescent="0.25"/>
    <row r="493" ht="25.15" customHeight="1" x14ac:dyDescent="0.25"/>
    <row r="494" ht="25.15" customHeight="1" x14ac:dyDescent="0.25"/>
    <row r="495" ht="25.15" customHeight="1" x14ac:dyDescent="0.25"/>
    <row r="496" ht="25.15" customHeight="1" x14ac:dyDescent="0.25"/>
    <row r="497" ht="25.15" customHeight="1" x14ac:dyDescent="0.25"/>
    <row r="498" ht="25.15" customHeight="1" x14ac:dyDescent="0.25"/>
    <row r="499" ht="25.15" customHeight="1" x14ac:dyDescent="0.25"/>
    <row r="500" ht="25.15" customHeight="1" x14ac:dyDescent="0.25"/>
    <row r="501" ht="25.15" customHeight="1" x14ac:dyDescent="0.25"/>
    <row r="502" ht="25.15" customHeight="1" x14ac:dyDescent="0.25"/>
    <row r="503" ht="25.15" customHeight="1" x14ac:dyDescent="0.25"/>
    <row r="504" ht="25.15" customHeight="1" x14ac:dyDescent="0.25"/>
    <row r="505" ht="25.15" customHeight="1" x14ac:dyDescent="0.25"/>
    <row r="506" ht="25.15" customHeight="1" x14ac:dyDescent="0.25"/>
    <row r="507" ht="25.15" customHeight="1" x14ac:dyDescent="0.25"/>
    <row r="508" ht="25.15" customHeight="1" x14ac:dyDescent="0.25"/>
    <row r="509" ht="25.15" customHeight="1" x14ac:dyDescent="0.25"/>
    <row r="510" ht="25.15" customHeight="1" x14ac:dyDescent="0.25"/>
    <row r="511" ht="25.15" customHeight="1" x14ac:dyDescent="0.25"/>
    <row r="512" ht="25.15" customHeight="1" x14ac:dyDescent="0.25"/>
    <row r="513" ht="25.15" customHeight="1" x14ac:dyDescent="0.25"/>
    <row r="514" ht="25.15" customHeight="1" x14ac:dyDescent="0.25"/>
    <row r="515" ht="25.15" customHeight="1" x14ac:dyDescent="0.25"/>
    <row r="516" ht="25.15" customHeight="1" x14ac:dyDescent="0.25"/>
    <row r="517" ht="25.15" customHeight="1" x14ac:dyDescent="0.25"/>
    <row r="518" ht="25.15" customHeight="1" x14ac:dyDescent="0.25"/>
    <row r="519" ht="25.15" customHeight="1" x14ac:dyDescent="0.25"/>
    <row r="520" ht="25.15" customHeight="1" x14ac:dyDescent="0.25"/>
    <row r="521" ht="25.15" customHeight="1" x14ac:dyDescent="0.25"/>
    <row r="522" ht="25.15" customHeight="1" x14ac:dyDescent="0.25"/>
    <row r="523" ht="25.15" customHeight="1" x14ac:dyDescent="0.25"/>
    <row r="524" ht="25.15" customHeight="1" x14ac:dyDescent="0.25"/>
    <row r="525" ht="25.15" customHeight="1" x14ac:dyDescent="0.25"/>
    <row r="526" ht="25.15" customHeight="1" x14ac:dyDescent="0.25"/>
    <row r="527" ht="25.15" customHeight="1" x14ac:dyDescent="0.25"/>
    <row r="528" ht="25.15" customHeight="1" x14ac:dyDescent="0.25"/>
    <row r="529" ht="25.15" customHeight="1" x14ac:dyDescent="0.25"/>
    <row r="530" ht="25.15" customHeight="1" x14ac:dyDescent="0.25"/>
    <row r="531" ht="25.15" customHeight="1" x14ac:dyDescent="0.25"/>
    <row r="532" ht="25.15" customHeight="1" x14ac:dyDescent="0.25"/>
    <row r="533" ht="25.15" customHeight="1" x14ac:dyDescent="0.25"/>
    <row r="534" ht="25.15" customHeight="1" x14ac:dyDescent="0.25"/>
    <row r="535" ht="25.15" customHeight="1" x14ac:dyDescent="0.25"/>
    <row r="536" ht="25.15" customHeight="1" x14ac:dyDescent="0.25"/>
    <row r="537" ht="25.15" customHeight="1" x14ac:dyDescent="0.25"/>
    <row r="538" ht="25.15" customHeight="1" x14ac:dyDescent="0.25"/>
    <row r="539" ht="25.15" customHeight="1" x14ac:dyDescent="0.25"/>
    <row r="540" ht="25.15" customHeight="1" x14ac:dyDescent="0.25"/>
    <row r="541" ht="25.15" customHeight="1" x14ac:dyDescent="0.25"/>
    <row r="542" ht="25.15" customHeight="1" x14ac:dyDescent="0.25"/>
    <row r="543" ht="25.15" customHeight="1" x14ac:dyDescent="0.25"/>
    <row r="544" ht="25.15" customHeight="1" x14ac:dyDescent="0.25"/>
    <row r="545" ht="25.15" customHeight="1" x14ac:dyDescent="0.25"/>
    <row r="546" ht="25.15" customHeight="1" x14ac:dyDescent="0.25"/>
    <row r="547" ht="25.15" customHeight="1" x14ac:dyDescent="0.25"/>
    <row r="548" ht="25.15" customHeight="1" x14ac:dyDescent="0.25"/>
    <row r="549" ht="25.15" customHeight="1" x14ac:dyDescent="0.25"/>
    <row r="550" ht="25.15" customHeight="1" x14ac:dyDescent="0.25"/>
    <row r="551" ht="25.15" customHeight="1" x14ac:dyDescent="0.25"/>
    <row r="552" ht="25.15" customHeight="1" x14ac:dyDescent="0.25"/>
    <row r="553" ht="25.15" customHeight="1" x14ac:dyDescent="0.25"/>
    <row r="554" ht="25.15" customHeight="1" x14ac:dyDescent="0.25"/>
    <row r="555" ht="25.15" customHeight="1" x14ac:dyDescent="0.25"/>
    <row r="556" ht="25.15" customHeight="1" x14ac:dyDescent="0.25"/>
    <row r="557" ht="25.15" customHeight="1" x14ac:dyDescent="0.25"/>
    <row r="558" ht="25.15" customHeight="1" x14ac:dyDescent="0.25"/>
    <row r="559" ht="25.15" customHeight="1" x14ac:dyDescent="0.25"/>
    <row r="560" ht="25.15" customHeight="1" x14ac:dyDescent="0.25"/>
    <row r="561" ht="25.15" customHeight="1" x14ac:dyDescent="0.25"/>
    <row r="562" ht="25.15" customHeight="1" x14ac:dyDescent="0.25"/>
    <row r="563" ht="25.15" customHeight="1" x14ac:dyDescent="0.25"/>
    <row r="564" ht="25.15" customHeight="1" x14ac:dyDescent="0.25"/>
    <row r="565" ht="25.15" customHeight="1" x14ac:dyDescent="0.25"/>
    <row r="566" ht="25.15" customHeight="1" x14ac:dyDescent="0.25"/>
    <row r="567" ht="25.15" customHeight="1" x14ac:dyDescent="0.25"/>
    <row r="568" ht="25.15" customHeight="1" x14ac:dyDescent="0.25"/>
    <row r="569" ht="25.15" customHeight="1" x14ac:dyDescent="0.25"/>
    <row r="570" ht="25.15" customHeight="1" x14ac:dyDescent="0.25"/>
    <row r="571" ht="25.15" customHeight="1" x14ac:dyDescent="0.25"/>
    <row r="572" ht="25.15" customHeight="1" x14ac:dyDescent="0.25"/>
    <row r="573" ht="25.15" customHeight="1" x14ac:dyDescent="0.25"/>
    <row r="574" ht="25.15" customHeight="1" x14ac:dyDescent="0.25"/>
    <row r="575" ht="25.15" customHeight="1" x14ac:dyDescent="0.25"/>
    <row r="576" ht="25.15" customHeight="1" x14ac:dyDescent="0.25"/>
    <row r="577" ht="25.15" customHeight="1" x14ac:dyDescent="0.25"/>
    <row r="578" ht="25.15" customHeight="1" x14ac:dyDescent="0.25"/>
    <row r="579" ht="25.15" customHeight="1" x14ac:dyDescent="0.25"/>
    <row r="580" ht="25.15" customHeight="1" x14ac:dyDescent="0.25"/>
    <row r="581" ht="25.15" customHeight="1" x14ac:dyDescent="0.25"/>
    <row r="582" ht="25.15" customHeight="1" x14ac:dyDescent="0.25"/>
    <row r="583" ht="25.15" customHeight="1" x14ac:dyDescent="0.25"/>
    <row r="584" ht="25.15" customHeight="1" x14ac:dyDescent="0.25"/>
    <row r="585" ht="25.15" customHeight="1" x14ac:dyDescent="0.25"/>
    <row r="586" ht="25.15" customHeight="1" x14ac:dyDescent="0.25"/>
    <row r="587" ht="25.15" customHeight="1" x14ac:dyDescent="0.25"/>
    <row r="588" ht="25.15" customHeight="1" x14ac:dyDescent="0.25"/>
    <row r="589" ht="25.15" customHeight="1" x14ac:dyDescent="0.25"/>
    <row r="590" ht="25.15" customHeight="1" x14ac:dyDescent="0.25"/>
    <row r="591" ht="25.15" customHeight="1" x14ac:dyDescent="0.25"/>
    <row r="592" ht="25.15" customHeight="1" x14ac:dyDescent="0.25"/>
    <row r="593" ht="25.15" customHeight="1" x14ac:dyDescent="0.25"/>
    <row r="594" ht="25.15" customHeight="1" x14ac:dyDescent="0.25"/>
    <row r="595" ht="25.15" customHeight="1" x14ac:dyDescent="0.25"/>
    <row r="596" ht="25.15" customHeight="1" x14ac:dyDescent="0.25"/>
    <row r="597" ht="25.15" customHeight="1" x14ac:dyDescent="0.25"/>
    <row r="598" ht="25.15" customHeight="1" x14ac:dyDescent="0.25"/>
    <row r="599" ht="25.15" customHeight="1" x14ac:dyDescent="0.25"/>
    <row r="600" ht="25.15" customHeight="1" x14ac:dyDescent="0.25"/>
    <row r="601" ht="25.15" customHeight="1" x14ac:dyDescent="0.25"/>
    <row r="602" ht="25.15" customHeight="1" x14ac:dyDescent="0.25"/>
    <row r="603" ht="25.15" customHeight="1" x14ac:dyDescent="0.25"/>
    <row r="604" ht="25.15" customHeight="1" x14ac:dyDescent="0.25"/>
    <row r="605" ht="25.15" customHeight="1" x14ac:dyDescent="0.25"/>
    <row r="606" ht="25.15" customHeight="1" x14ac:dyDescent="0.25"/>
    <row r="607" ht="25.15" customHeight="1" x14ac:dyDescent="0.25"/>
    <row r="608" ht="25.15" customHeight="1" x14ac:dyDescent="0.25"/>
    <row r="609" ht="25.15" customHeight="1" x14ac:dyDescent="0.25"/>
    <row r="610" ht="25.15" customHeight="1" x14ac:dyDescent="0.25"/>
    <row r="611" ht="25.15" customHeight="1" x14ac:dyDescent="0.25"/>
    <row r="612" ht="25.15" customHeight="1" x14ac:dyDescent="0.25"/>
    <row r="613" ht="25.15" customHeight="1" x14ac:dyDescent="0.25"/>
    <row r="614" ht="25.15" customHeight="1" x14ac:dyDescent="0.25"/>
    <row r="615" ht="25.15" customHeight="1" x14ac:dyDescent="0.25"/>
    <row r="616" ht="25.15" customHeight="1" x14ac:dyDescent="0.25"/>
    <row r="617" ht="25.15" customHeight="1" x14ac:dyDescent="0.25"/>
    <row r="618" ht="25.15" customHeight="1" x14ac:dyDescent="0.25"/>
    <row r="619" ht="25.15" customHeight="1" x14ac:dyDescent="0.25"/>
    <row r="620" ht="25.15" customHeight="1" x14ac:dyDescent="0.25"/>
    <row r="621" ht="25.15" customHeight="1" x14ac:dyDescent="0.25"/>
    <row r="622" ht="25.15" customHeight="1" x14ac:dyDescent="0.25"/>
    <row r="623" ht="25.15" customHeight="1" x14ac:dyDescent="0.25"/>
    <row r="624" ht="25.15" customHeight="1" x14ac:dyDescent="0.25"/>
    <row r="625" ht="25.15" customHeight="1" x14ac:dyDescent="0.25"/>
    <row r="626" ht="25.15" customHeight="1" x14ac:dyDescent="0.25"/>
    <row r="627" ht="25.15" customHeight="1" x14ac:dyDescent="0.25"/>
    <row r="628" ht="25.15" customHeight="1" x14ac:dyDescent="0.25"/>
    <row r="629" ht="25.15" customHeight="1" x14ac:dyDescent="0.25"/>
    <row r="630" ht="25.15" customHeight="1" x14ac:dyDescent="0.25"/>
    <row r="631" ht="25.15" customHeight="1" x14ac:dyDescent="0.25"/>
    <row r="632" ht="25.15" customHeight="1" x14ac:dyDescent="0.25"/>
    <row r="633" ht="25.15" customHeight="1" x14ac:dyDescent="0.25"/>
    <row r="634" ht="25.15" customHeight="1" x14ac:dyDescent="0.25"/>
    <row r="635" ht="25.15" customHeight="1" x14ac:dyDescent="0.25"/>
    <row r="636" ht="25.15" customHeight="1" x14ac:dyDescent="0.25"/>
    <row r="637" ht="25.15" customHeight="1" x14ac:dyDescent="0.25"/>
    <row r="638" ht="25.15" customHeight="1" x14ac:dyDescent="0.25"/>
    <row r="639" ht="25.15" customHeight="1" x14ac:dyDescent="0.25"/>
    <row r="640" ht="25.15" customHeight="1" x14ac:dyDescent="0.25"/>
    <row r="641" ht="25.15" customHeight="1" x14ac:dyDescent="0.25"/>
    <row r="642" ht="25.15" customHeight="1" x14ac:dyDescent="0.25"/>
    <row r="643" ht="25.15" customHeight="1" x14ac:dyDescent="0.25"/>
    <row r="644" ht="25.15" customHeight="1" x14ac:dyDescent="0.25"/>
    <row r="645" ht="25.15" customHeight="1" x14ac:dyDescent="0.25"/>
    <row r="646" ht="25.15" customHeight="1" x14ac:dyDescent="0.25"/>
    <row r="647" ht="25.15" customHeight="1" x14ac:dyDescent="0.25"/>
    <row r="648" ht="25.15" customHeight="1" x14ac:dyDescent="0.25"/>
    <row r="649" ht="25.15" customHeight="1" x14ac:dyDescent="0.25"/>
    <row r="650" ht="25.15" customHeight="1" x14ac:dyDescent="0.25"/>
    <row r="651" ht="25.15" customHeight="1" x14ac:dyDescent="0.25"/>
    <row r="652" ht="25.15" customHeight="1" x14ac:dyDescent="0.25"/>
    <row r="653" ht="25.15" customHeight="1" x14ac:dyDescent="0.25"/>
    <row r="654" ht="25.15" customHeight="1" x14ac:dyDescent="0.25"/>
    <row r="655" ht="25.15" customHeight="1" x14ac:dyDescent="0.25"/>
    <row r="656" ht="25.15" customHeight="1" x14ac:dyDescent="0.25"/>
    <row r="657" ht="25.15" customHeight="1" x14ac:dyDescent="0.25"/>
    <row r="658" ht="25.15" customHeight="1" x14ac:dyDescent="0.25"/>
    <row r="659" ht="25.15" customHeight="1" x14ac:dyDescent="0.25"/>
    <row r="660" ht="25.15" customHeight="1" x14ac:dyDescent="0.25"/>
    <row r="661" ht="25.15" customHeight="1" x14ac:dyDescent="0.25"/>
    <row r="662" ht="25.15" customHeight="1" x14ac:dyDescent="0.25"/>
    <row r="663" ht="25.15" customHeight="1" x14ac:dyDescent="0.25"/>
    <row r="664" ht="25.15" customHeight="1" x14ac:dyDescent="0.25"/>
    <row r="665" ht="25.15" customHeight="1" x14ac:dyDescent="0.25"/>
    <row r="666" ht="25.15" customHeight="1" x14ac:dyDescent="0.25"/>
    <row r="667" ht="25.15" customHeight="1" x14ac:dyDescent="0.25"/>
    <row r="668" ht="25.15" customHeight="1" x14ac:dyDescent="0.25"/>
    <row r="669" ht="25.15" customHeight="1" x14ac:dyDescent="0.25"/>
    <row r="670" ht="25.15" customHeight="1" x14ac:dyDescent="0.25"/>
    <row r="671" ht="25.15" customHeight="1" x14ac:dyDescent="0.25"/>
    <row r="672" ht="25.15" customHeight="1" x14ac:dyDescent="0.25"/>
    <row r="673" ht="25.15" customHeight="1" x14ac:dyDescent="0.25"/>
    <row r="674" ht="25.15" customHeight="1" x14ac:dyDescent="0.25"/>
    <row r="675" ht="25.15" customHeight="1" x14ac:dyDescent="0.25"/>
    <row r="676" ht="25.15" customHeight="1" x14ac:dyDescent="0.25"/>
    <row r="677" ht="25.15" customHeight="1" x14ac:dyDescent="0.25"/>
    <row r="678" ht="25.15" customHeight="1" x14ac:dyDescent="0.25"/>
    <row r="679" ht="25.15" customHeight="1" x14ac:dyDescent="0.25"/>
    <row r="680" ht="25.15" customHeight="1" x14ac:dyDescent="0.25"/>
    <row r="681" ht="25.15" customHeight="1" x14ac:dyDescent="0.25"/>
    <row r="682" ht="25.15" customHeight="1" x14ac:dyDescent="0.25"/>
    <row r="683" ht="25.15" customHeight="1" x14ac:dyDescent="0.25"/>
    <row r="684" ht="25.15" customHeight="1" x14ac:dyDescent="0.25"/>
    <row r="685" ht="25.15" customHeight="1" x14ac:dyDescent="0.25"/>
    <row r="686" ht="25.15" customHeight="1" x14ac:dyDescent="0.25"/>
    <row r="687" ht="25.15" customHeight="1" x14ac:dyDescent="0.25"/>
    <row r="688" ht="25.15" customHeight="1" x14ac:dyDescent="0.25"/>
    <row r="689" ht="25.15" customHeight="1" x14ac:dyDescent="0.25"/>
    <row r="690" ht="25.15" customHeight="1" x14ac:dyDescent="0.25"/>
    <row r="691" ht="25.15" customHeight="1" x14ac:dyDescent="0.25"/>
    <row r="692" ht="25.15" customHeight="1" x14ac:dyDescent="0.25"/>
    <row r="693" ht="25.15" customHeight="1" x14ac:dyDescent="0.25"/>
    <row r="694" ht="25.15" customHeight="1" x14ac:dyDescent="0.25"/>
    <row r="695" ht="25.15" customHeight="1" x14ac:dyDescent="0.25"/>
    <row r="696" ht="25.15" customHeight="1" x14ac:dyDescent="0.25"/>
    <row r="697" ht="25.15" customHeight="1" x14ac:dyDescent="0.25"/>
    <row r="698" ht="25.15" customHeight="1" x14ac:dyDescent="0.25"/>
    <row r="699" ht="25.15" customHeight="1" x14ac:dyDescent="0.25"/>
    <row r="700" ht="25.15" customHeight="1" x14ac:dyDescent="0.25"/>
    <row r="701" ht="25.15" customHeight="1" x14ac:dyDescent="0.25"/>
    <row r="702" ht="25.15" customHeight="1" x14ac:dyDescent="0.25"/>
    <row r="703" ht="25.15" customHeight="1" x14ac:dyDescent="0.25"/>
    <row r="704" ht="25.15" customHeight="1" x14ac:dyDescent="0.25"/>
    <row r="705" ht="25.15" customHeight="1" x14ac:dyDescent="0.25"/>
    <row r="706" ht="25.15" customHeight="1" x14ac:dyDescent="0.25"/>
    <row r="707" ht="25.15" customHeight="1" x14ac:dyDescent="0.25"/>
    <row r="708" ht="25.15" customHeight="1" x14ac:dyDescent="0.25"/>
    <row r="709" ht="25.15" customHeight="1" x14ac:dyDescent="0.25"/>
    <row r="710" ht="25.15" customHeight="1" x14ac:dyDescent="0.25"/>
    <row r="711" ht="25.15" customHeight="1" x14ac:dyDescent="0.25"/>
    <row r="712" ht="25.15" customHeight="1" x14ac:dyDescent="0.25"/>
    <row r="713" ht="25.15" customHeight="1" x14ac:dyDescent="0.25"/>
    <row r="714" ht="25.15" customHeight="1" x14ac:dyDescent="0.25"/>
    <row r="715" ht="25.15" customHeight="1" x14ac:dyDescent="0.25"/>
    <row r="716" ht="25.15" customHeight="1" x14ac:dyDescent="0.25"/>
    <row r="717" ht="25.15" customHeight="1" x14ac:dyDescent="0.25"/>
    <row r="718" ht="25.15" customHeight="1" x14ac:dyDescent="0.25"/>
    <row r="719" ht="25.15" customHeight="1" x14ac:dyDescent="0.25"/>
    <row r="720" ht="25.15" customHeight="1" x14ac:dyDescent="0.25"/>
    <row r="721" ht="25.15" customHeight="1" x14ac:dyDescent="0.25"/>
    <row r="722" ht="25.15" customHeight="1" x14ac:dyDescent="0.25"/>
    <row r="723" ht="25.15" customHeight="1" x14ac:dyDescent="0.25"/>
    <row r="724" ht="25.15" customHeight="1" x14ac:dyDescent="0.25"/>
    <row r="725" ht="25.15" customHeight="1" x14ac:dyDescent="0.25"/>
    <row r="726" ht="25.15" customHeight="1" x14ac:dyDescent="0.25"/>
    <row r="727" ht="25.15" customHeight="1" x14ac:dyDescent="0.25"/>
    <row r="728" ht="25.15" customHeight="1" x14ac:dyDescent="0.25"/>
    <row r="729" ht="25.15" customHeight="1" x14ac:dyDescent="0.25"/>
    <row r="730" ht="25.15" customHeight="1" x14ac:dyDescent="0.25"/>
    <row r="731" ht="25.15" customHeight="1" x14ac:dyDescent="0.25"/>
    <row r="732" ht="25.15" customHeight="1" x14ac:dyDescent="0.25"/>
    <row r="733" ht="25.15" customHeight="1" x14ac:dyDescent="0.25"/>
    <row r="734" ht="25.15" customHeight="1" x14ac:dyDescent="0.25"/>
    <row r="735" ht="25.15" customHeight="1" x14ac:dyDescent="0.25"/>
    <row r="736" ht="25.15" customHeight="1" x14ac:dyDescent="0.25"/>
    <row r="737" ht="25.15" customHeight="1" x14ac:dyDescent="0.25"/>
    <row r="738" ht="25.15" customHeight="1" x14ac:dyDescent="0.25"/>
    <row r="739" ht="25.15" customHeight="1" x14ac:dyDescent="0.25"/>
    <row r="740" ht="25.15" customHeight="1" x14ac:dyDescent="0.25"/>
    <row r="741" ht="25.15" customHeight="1" x14ac:dyDescent="0.25"/>
    <row r="742" ht="25.15" customHeight="1" x14ac:dyDescent="0.25"/>
    <row r="743" ht="25.15" customHeight="1" x14ac:dyDescent="0.25"/>
    <row r="744" ht="25.15" customHeight="1" x14ac:dyDescent="0.25"/>
    <row r="745" ht="25.15" customHeight="1" x14ac:dyDescent="0.25"/>
    <row r="746" ht="25.15" customHeight="1" x14ac:dyDescent="0.25"/>
    <row r="747" ht="25.15" customHeight="1" x14ac:dyDescent="0.25"/>
    <row r="748" ht="25.15" customHeight="1" x14ac:dyDescent="0.25"/>
    <row r="749" ht="25.15" customHeight="1" x14ac:dyDescent="0.25"/>
    <row r="750" ht="25.15" customHeight="1" x14ac:dyDescent="0.25"/>
    <row r="751" ht="25.15" customHeight="1" x14ac:dyDescent="0.25"/>
    <row r="752" ht="25.15" customHeight="1" x14ac:dyDescent="0.25"/>
    <row r="753" ht="25.15" customHeight="1" x14ac:dyDescent="0.25"/>
    <row r="754" ht="25.15" customHeight="1" x14ac:dyDescent="0.25"/>
    <row r="755" ht="25.15" customHeight="1" x14ac:dyDescent="0.25"/>
    <row r="756" ht="25.15" customHeight="1" x14ac:dyDescent="0.25"/>
    <row r="757" ht="25.15" customHeight="1" x14ac:dyDescent="0.25"/>
    <row r="758" ht="25.15" customHeight="1" x14ac:dyDescent="0.25"/>
    <row r="759" ht="25.15" customHeight="1" x14ac:dyDescent="0.25"/>
    <row r="760" ht="25.15" customHeight="1" x14ac:dyDescent="0.25"/>
    <row r="761" ht="25.15" customHeight="1" x14ac:dyDescent="0.25"/>
    <row r="762" ht="25.15" customHeight="1" x14ac:dyDescent="0.25"/>
    <row r="763" ht="25.15" customHeight="1" x14ac:dyDescent="0.25"/>
    <row r="764" ht="25.15" customHeight="1" x14ac:dyDescent="0.25"/>
    <row r="765" ht="25.15" customHeight="1" x14ac:dyDescent="0.25"/>
    <row r="766" ht="25.15" customHeight="1" x14ac:dyDescent="0.25"/>
    <row r="767" ht="25.15" customHeight="1" x14ac:dyDescent="0.25"/>
    <row r="768" ht="25.15" customHeight="1" x14ac:dyDescent="0.25"/>
    <row r="769" ht="25.15" customHeight="1" x14ac:dyDescent="0.25"/>
    <row r="770" ht="25.15" customHeight="1" x14ac:dyDescent="0.25"/>
    <row r="771" ht="25.15" customHeight="1" x14ac:dyDescent="0.25"/>
    <row r="772" ht="25.15" customHeight="1" x14ac:dyDescent="0.25"/>
    <row r="773" ht="25.15" customHeight="1" x14ac:dyDescent="0.25"/>
    <row r="774" ht="25.15" customHeight="1" x14ac:dyDescent="0.25"/>
    <row r="775" ht="25.15" customHeight="1" x14ac:dyDescent="0.25"/>
    <row r="776" ht="25.15" customHeight="1" x14ac:dyDescent="0.25"/>
    <row r="777" ht="25.15" customHeight="1" x14ac:dyDescent="0.25"/>
    <row r="778" ht="25.15" customHeight="1" x14ac:dyDescent="0.25"/>
    <row r="779" ht="25.15" customHeight="1" x14ac:dyDescent="0.25"/>
    <row r="780" ht="25.15" customHeight="1" x14ac:dyDescent="0.25"/>
    <row r="781" ht="25.15" customHeight="1" x14ac:dyDescent="0.25"/>
    <row r="782" ht="25.15" customHeight="1" x14ac:dyDescent="0.25"/>
    <row r="783" ht="25.15" customHeight="1" x14ac:dyDescent="0.25"/>
    <row r="784" ht="25.15" customHeight="1" x14ac:dyDescent="0.25"/>
    <row r="785" ht="25.15" customHeight="1" x14ac:dyDescent="0.25"/>
    <row r="786" ht="25.15" customHeight="1" x14ac:dyDescent="0.25"/>
    <row r="787" ht="25.15" customHeight="1" x14ac:dyDescent="0.25"/>
    <row r="788" ht="25.15" customHeight="1" x14ac:dyDescent="0.25"/>
    <row r="789" ht="25.15" customHeight="1" x14ac:dyDescent="0.25"/>
    <row r="790" ht="25.15" customHeight="1" x14ac:dyDescent="0.25"/>
    <row r="791" ht="25.15" customHeight="1" x14ac:dyDescent="0.25"/>
    <row r="792" ht="25.15" customHeight="1" x14ac:dyDescent="0.25"/>
    <row r="793" ht="25.15" customHeight="1" x14ac:dyDescent="0.25"/>
    <row r="794" ht="25.15" customHeight="1" x14ac:dyDescent="0.25"/>
    <row r="795" ht="25.15" customHeight="1" x14ac:dyDescent="0.25"/>
    <row r="796" ht="25.15" customHeight="1" x14ac:dyDescent="0.25"/>
    <row r="797" ht="25.15" customHeight="1" x14ac:dyDescent="0.25"/>
    <row r="798" ht="25.15" customHeight="1" x14ac:dyDescent="0.25"/>
    <row r="799" ht="25.15" customHeight="1" x14ac:dyDescent="0.25"/>
    <row r="800" ht="25.15" customHeight="1" x14ac:dyDescent="0.25"/>
    <row r="801" ht="25.15" customHeight="1" x14ac:dyDescent="0.25"/>
    <row r="802" ht="25.15" customHeight="1" x14ac:dyDescent="0.25"/>
    <row r="803" ht="25.15" customHeight="1" x14ac:dyDescent="0.25"/>
    <row r="804" ht="25.15" customHeight="1" x14ac:dyDescent="0.25"/>
    <row r="805" ht="25.15" customHeight="1" x14ac:dyDescent="0.25"/>
    <row r="806" ht="25.15" customHeight="1" x14ac:dyDescent="0.25"/>
    <row r="807" ht="25.15" customHeight="1" x14ac:dyDescent="0.25"/>
    <row r="808" ht="25.15" customHeight="1" x14ac:dyDescent="0.25"/>
    <row r="809" ht="25.15" customHeight="1" x14ac:dyDescent="0.25"/>
    <row r="810" ht="25.15" customHeight="1" x14ac:dyDescent="0.25"/>
    <row r="811" ht="25.15" customHeight="1" x14ac:dyDescent="0.25"/>
    <row r="812" ht="25.15" customHeight="1" x14ac:dyDescent="0.25"/>
    <row r="813" ht="25.15" customHeight="1" x14ac:dyDescent="0.25"/>
    <row r="814" ht="25.15" customHeight="1" x14ac:dyDescent="0.25"/>
    <row r="815" ht="25.15" customHeight="1" x14ac:dyDescent="0.25"/>
    <row r="816" ht="25.15" customHeight="1" x14ac:dyDescent="0.25"/>
    <row r="817" ht="25.15" customHeight="1" x14ac:dyDescent="0.25"/>
    <row r="818" ht="25.15" customHeight="1" x14ac:dyDescent="0.25"/>
    <row r="819" ht="25.15" customHeight="1" x14ac:dyDescent="0.25"/>
    <row r="820" ht="25.15" customHeight="1" x14ac:dyDescent="0.25"/>
    <row r="821" ht="25.15" customHeight="1" x14ac:dyDescent="0.25"/>
    <row r="822" ht="25.15" customHeight="1" x14ac:dyDescent="0.25"/>
    <row r="823" ht="25.15" customHeight="1" x14ac:dyDescent="0.25"/>
    <row r="824" ht="25.15" customHeight="1" x14ac:dyDescent="0.25"/>
    <row r="825" ht="25.15" customHeight="1" x14ac:dyDescent="0.25"/>
    <row r="826" ht="25.15" customHeight="1" x14ac:dyDescent="0.25"/>
    <row r="827" ht="25.15" customHeight="1" x14ac:dyDescent="0.25"/>
    <row r="828" ht="25.15" customHeight="1" x14ac:dyDescent="0.25"/>
    <row r="829" ht="25.15" customHeight="1" x14ac:dyDescent="0.25"/>
    <row r="830" ht="25.15" customHeight="1" x14ac:dyDescent="0.25"/>
    <row r="831" ht="25.15" customHeight="1" x14ac:dyDescent="0.25"/>
    <row r="832" ht="25.15" customHeight="1" x14ac:dyDescent="0.25"/>
    <row r="833" ht="25.15" customHeight="1" x14ac:dyDescent="0.25"/>
    <row r="834" ht="25.15" customHeight="1" x14ac:dyDescent="0.25"/>
    <row r="835" ht="25.15" customHeight="1" x14ac:dyDescent="0.25"/>
    <row r="836" ht="25.15" customHeight="1" x14ac:dyDescent="0.25"/>
    <row r="837" ht="25.15" customHeight="1" x14ac:dyDescent="0.25"/>
    <row r="838" ht="25.15" customHeight="1" x14ac:dyDescent="0.25"/>
    <row r="839" ht="25.15" customHeight="1" x14ac:dyDescent="0.25"/>
    <row r="840" ht="25.15" customHeight="1" x14ac:dyDescent="0.25"/>
    <row r="841" ht="25.15" customHeight="1" x14ac:dyDescent="0.25"/>
    <row r="842" ht="25.15" customHeight="1" x14ac:dyDescent="0.25"/>
    <row r="843" ht="25.15" customHeight="1" x14ac:dyDescent="0.25"/>
    <row r="844" ht="25.15" customHeight="1" x14ac:dyDescent="0.25"/>
    <row r="845" ht="25.15" customHeight="1" x14ac:dyDescent="0.25"/>
    <row r="846" ht="25.15" customHeight="1" x14ac:dyDescent="0.25"/>
    <row r="847" ht="25.15" customHeight="1" x14ac:dyDescent="0.25"/>
    <row r="848" ht="25.15" customHeight="1" x14ac:dyDescent="0.25"/>
    <row r="849" ht="25.15" customHeight="1" x14ac:dyDescent="0.25"/>
    <row r="850" ht="25.15" customHeight="1" x14ac:dyDescent="0.25"/>
    <row r="851" ht="25.15" customHeight="1" x14ac:dyDescent="0.25"/>
    <row r="852" ht="25.15" customHeight="1" x14ac:dyDescent="0.25"/>
    <row r="853" ht="25.15" customHeight="1" x14ac:dyDescent="0.25"/>
    <row r="854" ht="25.15" customHeight="1" x14ac:dyDescent="0.25"/>
    <row r="855" ht="25.15" customHeight="1" x14ac:dyDescent="0.25"/>
    <row r="856" ht="25.15" customHeight="1" x14ac:dyDescent="0.25"/>
    <row r="857" ht="25.15" customHeight="1" x14ac:dyDescent="0.25"/>
    <row r="858" ht="25.15" customHeight="1" x14ac:dyDescent="0.25"/>
    <row r="859" ht="25.15" customHeight="1" x14ac:dyDescent="0.25"/>
    <row r="860" ht="25.15" customHeight="1" x14ac:dyDescent="0.25"/>
    <row r="861" ht="25.15" customHeight="1" x14ac:dyDescent="0.25"/>
    <row r="862" ht="25.15" customHeight="1" x14ac:dyDescent="0.25"/>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dataValidation allowBlank="1" showInputMessage="1" showErrorMessage="1" prompt="Digital Object Identifier to your experiment/dataset/publication" sqref="A5"/>
    <dataValidation allowBlank="1" showInputMessage="1" showErrorMessage="1" prompt="PubMed Identifier to your publication." sqref="A6"/>
    <dataValidation allowBlank="1" showInputMessage="1" showErrorMessage="1" prompt="Miscellaneous link affiliated to your data." sqref="A7"/>
  </dataValidations>
  <hyperlinks>
    <hyperlink ref="C11" r:id="rId1"/>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F235"/>
  <sheetViews>
    <sheetView showGridLines="0" zoomScale="85" zoomScaleNormal="85" workbookViewId="0">
      <selection activeCell="E11" sqref="E11"/>
    </sheetView>
  </sheetViews>
  <sheetFormatPr defaultColWidth="25.7109375" defaultRowHeight="15" x14ac:dyDescent="0.25"/>
  <sheetData>
    <row r="1" spans="1:6" ht="60" customHeight="1" x14ac:dyDescent="0.25">
      <c r="B1" s="2"/>
      <c r="C1" s="2"/>
      <c r="D1" s="2"/>
      <c r="E1" s="2"/>
      <c r="F1" s="2"/>
    </row>
    <row r="2" spans="1:6" ht="35.1" customHeight="1" x14ac:dyDescent="0.25">
      <c r="A2" s="80" t="s">
        <v>133</v>
      </c>
      <c r="B2" s="80"/>
      <c r="C2" s="2"/>
      <c r="D2" s="2"/>
      <c r="E2" s="2"/>
      <c r="F2" s="2"/>
    </row>
    <row r="3" spans="1:6" ht="35.1" customHeight="1" x14ac:dyDescent="0.25">
      <c r="A3" s="4" t="s">
        <v>72</v>
      </c>
      <c r="B3" s="4" t="s">
        <v>5</v>
      </c>
      <c r="C3" s="4" t="s">
        <v>31</v>
      </c>
      <c r="D3" s="4" t="s">
        <v>32</v>
      </c>
      <c r="E3" s="10"/>
      <c r="F3" s="10"/>
    </row>
    <row r="4" spans="1:6" ht="25.15" customHeight="1" x14ac:dyDescent="0.3">
      <c r="A4" s="34" t="s">
        <v>169</v>
      </c>
      <c r="B4" s="31" t="s">
        <v>190</v>
      </c>
      <c r="C4" s="31">
        <v>8</v>
      </c>
      <c r="D4" s="31" t="s">
        <v>27</v>
      </c>
      <c r="E4" s="8"/>
      <c r="F4" s="8"/>
    </row>
    <row r="5" spans="1:6" ht="25.15" customHeight="1" x14ac:dyDescent="0.3">
      <c r="A5" s="34" t="s">
        <v>109</v>
      </c>
      <c r="B5" s="32" t="s">
        <v>191</v>
      </c>
      <c r="C5" s="32">
        <v>8</v>
      </c>
      <c r="D5" s="32" t="s">
        <v>27</v>
      </c>
      <c r="E5" s="8"/>
      <c r="F5" s="8"/>
    </row>
    <row r="6" spans="1:6" ht="25.15" customHeight="1" x14ac:dyDescent="0.3">
      <c r="A6" s="34" t="s">
        <v>110</v>
      </c>
      <c r="B6" s="32"/>
      <c r="C6" s="60"/>
      <c r="D6" s="32"/>
      <c r="E6" s="8"/>
      <c r="F6" s="8"/>
    </row>
    <row r="7" spans="1:6" ht="25.15" customHeight="1" x14ac:dyDescent="0.25">
      <c r="A7" s="34" t="s">
        <v>111</v>
      </c>
      <c r="B7" s="32" t="s">
        <v>59</v>
      </c>
      <c r="C7" s="32"/>
      <c r="D7" s="32"/>
      <c r="E7" s="1"/>
      <c r="F7" s="1"/>
    </row>
    <row r="8" spans="1:6" ht="25.15" customHeight="1" x14ac:dyDescent="0.25">
      <c r="A8" s="34" t="s">
        <v>112</v>
      </c>
      <c r="B8" s="32" t="s">
        <v>59</v>
      </c>
      <c r="C8" s="32"/>
      <c r="D8" s="32"/>
      <c r="E8" s="1"/>
      <c r="F8" s="1"/>
    </row>
    <row r="9" spans="1:6" ht="25.15" customHeight="1" x14ac:dyDescent="0.25">
      <c r="A9" s="34" t="s">
        <v>113</v>
      </c>
      <c r="B9" s="32" t="s">
        <v>59</v>
      </c>
      <c r="C9" s="32"/>
      <c r="D9" s="32"/>
      <c r="E9" s="1"/>
      <c r="F9" s="1"/>
    </row>
    <row r="10" spans="1:6" ht="25.15" customHeight="1" x14ac:dyDescent="0.25">
      <c r="A10" s="34" t="s">
        <v>114</v>
      </c>
      <c r="B10" s="32" t="s">
        <v>59</v>
      </c>
      <c r="C10" s="32"/>
      <c r="D10" s="32"/>
      <c r="E10" s="1"/>
      <c r="F10" s="1"/>
    </row>
    <row r="11" spans="1:6" ht="25.15" customHeight="1" x14ac:dyDescent="0.25">
      <c r="A11" s="34" t="s">
        <v>115</v>
      </c>
      <c r="B11" s="32" t="s">
        <v>59</v>
      </c>
      <c r="C11" s="32"/>
      <c r="D11" s="32"/>
      <c r="E11" s="1"/>
      <c r="F11" s="1"/>
    </row>
    <row r="12" spans="1:6" ht="25.15" customHeight="1" x14ac:dyDescent="0.25">
      <c r="A12" s="34" t="s">
        <v>116</v>
      </c>
      <c r="B12" s="32" t="s">
        <v>59</v>
      </c>
      <c r="C12" s="32"/>
      <c r="D12" s="32"/>
      <c r="E12" s="1"/>
      <c r="F12" s="1"/>
    </row>
    <row r="13" spans="1:6" ht="25.15" customHeight="1" x14ac:dyDescent="0.25">
      <c r="A13" s="34" t="s">
        <v>117</v>
      </c>
      <c r="B13" s="32" t="s">
        <v>59</v>
      </c>
      <c r="C13" s="32"/>
      <c r="D13" s="32"/>
      <c r="E13" s="1"/>
      <c r="F13" s="1"/>
    </row>
    <row r="14" spans="1:6" ht="25.15" customHeight="1" x14ac:dyDescent="0.25">
      <c r="A14" s="34" t="s">
        <v>118</v>
      </c>
      <c r="B14" s="32" t="s">
        <v>59</v>
      </c>
      <c r="C14" s="32"/>
      <c r="D14" s="32"/>
      <c r="E14" s="1"/>
      <c r="F14" s="1"/>
    </row>
    <row r="15" spans="1:6" ht="25.15" customHeight="1" x14ac:dyDescent="0.25">
      <c r="A15" s="34" t="s">
        <v>119</v>
      </c>
      <c r="B15" s="32" t="s">
        <v>59</v>
      </c>
      <c r="C15" s="32"/>
      <c r="D15" s="32"/>
      <c r="E15" s="1"/>
      <c r="F15" s="1"/>
    </row>
    <row r="16" spans="1:6" ht="25.15" customHeight="1" x14ac:dyDescent="0.25">
      <c r="A16" s="34" t="s">
        <v>120</v>
      </c>
      <c r="B16" s="32" t="s">
        <v>59</v>
      </c>
      <c r="C16" s="32"/>
      <c r="D16" s="32"/>
      <c r="E16" s="1"/>
      <c r="F16" s="1"/>
    </row>
    <row r="17" spans="1:6" ht="25.15" customHeight="1" x14ac:dyDescent="0.25">
      <c r="A17" s="34" t="s">
        <v>121</v>
      </c>
      <c r="B17" s="32" t="s">
        <v>59</v>
      </c>
      <c r="C17" s="32"/>
      <c r="D17" s="32"/>
      <c r="E17" s="1"/>
      <c r="F17" s="1"/>
    </row>
    <row r="18" spans="1:6" ht="25.15" customHeight="1" x14ac:dyDescent="0.25">
      <c r="A18" s="34" t="s">
        <v>122</v>
      </c>
      <c r="B18" s="32" t="s">
        <v>59</v>
      </c>
      <c r="C18" s="32"/>
      <c r="D18" s="32"/>
      <c r="E18" s="1"/>
      <c r="F18" s="1"/>
    </row>
    <row r="19" spans="1:6" ht="25.15" customHeight="1" x14ac:dyDescent="0.25">
      <c r="A19" s="34" t="s">
        <v>123</v>
      </c>
      <c r="B19" s="32" t="s">
        <v>59</v>
      </c>
      <c r="C19" s="32"/>
      <c r="D19" s="32"/>
      <c r="E19" s="1"/>
      <c r="F19" s="1"/>
    </row>
    <row r="20" spans="1:6" ht="25.15" customHeight="1" x14ac:dyDescent="0.25">
      <c r="A20" s="34" t="s">
        <v>124</v>
      </c>
      <c r="B20" s="32" t="s">
        <v>59</v>
      </c>
      <c r="C20" s="32"/>
      <c r="D20" s="32"/>
      <c r="E20" s="1"/>
      <c r="F20" s="1"/>
    </row>
    <row r="21" spans="1:6" ht="25.15" customHeight="1" x14ac:dyDescent="0.25">
      <c r="A21" s="34" t="s">
        <v>125</v>
      </c>
      <c r="B21" s="32" t="s">
        <v>59</v>
      </c>
      <c r="C21" s="32"/>
      <c r="D21" s="32"/>
      <c r="E21" s="1"/>
      <c r="F21" s="1"/>
    </row>
    <row r="22" spans="1:6" ht="25.15" customHeight="1" x14ac:dyDescent="0.25">
      <c r="A22" s="34" t="s">
        <v>126</v>
      </c>
      <c r="B22" s="32" t="s">
        <v>59</v>
      </c>
      <c r="C22" s="32"/>
      <c r="D22" s="32"/>
      <c r="E22" s="1"/>
      <c r="F22" s="1"/>
    </row>
    <row r="23" spans="1:6" ht="25.15" customHeight="1" x14ac:dyDescent="0.25">
      <c r="A23" s="34" t="s">
        <v>127</v>
      </c>
      <c r="B23" s="32" t="s">
        <v>59</v>
      </c>
      <c r="C23" s="32"/>
      <c r="D23" s="32"/>
      <c r="E23" s="1"/>
      <c r="F23" s="1"/>
    </row>
    <row r="24" spans="1:6" ht="25.15" customHeight="1" x14ac:dyDescent="0.25"/>
    <row r="25" spans="1:6" ht="25.15" customHeight="1" x14ac:dyDescent="0.25"/>
    <row r="26" spans="1:6" ht="25.15" customHeight="1" x14ac:dyDescent="0.25"/>
    <row r="27" spans="1:6" ht="25.15" customHeight="1" x14ac:dyDescent="0.25"/>
    <row r="28" spans="1:6" ht="25.15" customHeight="1" x14ac:dyDescent="0.25"/>
    <row r="29" spans="1:6" ht="25.15" customHeight="1" x14ac:dyDescent="0.25"/>
    <row r="30" spans="1:6" ht="25.15" customHeight="1" x14ac:dyDescent="0.25"/>
    <row r="31" spans="1:6" ht="25.15" customHeight="1" x14ac:dyDescent="0.25"/>
    <row r="32" spans="1:6"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sheetData>
  <mergeCells count="1">
    <mergeCell ref="A2:B2"/>
  </mergeCells>
  <phoneticPr fontId="2" type="noConversion"/>
  <dataValidations count="4">
    <dataValidation type="decimal" allowBlank="1" showInputMessage="1" showErrorMessage="1" sqref="C4:C23">
      <formula1>0</formula1>
      <formula2>1000000000000000</formula2>
    </dataValidation>
    <dataValidation allowBlank="1" showInputMessage="1" showErrorMessage="1" prompt="Numeric value of the vessel volume" sqref="C3"/>
    <dataValidation allowBlank="1" showInputMessage="1" showErrorMessage="1" prompt="Choose the unit of your vessel volume via dropdown" sqref="D3"/>
    <dataValidation allowBlank="1" showInputMessage="1" showErrorMessage="1" prompt="Detailed name of your vessel e.g. &quot;Eppendorf tube&quot;" sqref="B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Documentation!$I$21:$I$23</xm:f>
          </x14:formula1>
          <xm:sqref>D6:D23</xm:sqref>
        </x14:dataValidation>
        <x14:dataValidation type="list" allowBlank="1" showInputMessage="1" showErrorMessage="1">
          <x14:formula1>
            <xm:f>Documentation!#REF!</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9" tint="0.39997558519241921"/>
  </sheetPr>
  <dimension ref="A1:M401"/>
  <sheetViews>
    <sheetView showGridLines="0" zoomScale="85" zoomScaleNormal="85" workbookViewId="0">
      <selection activeCell="F11" sqref="F11"/>
    </sheetView>
  </sheetViews>
  <sheetFormatPr defaultColWidth="25.7109375" defaultRowHeight="20.100000000000001" customHeight="1" x14ac:dyDescent="0.25"/>
  <cols>
    <col min="1" max="4" width="25.7109375" style="2"/>
    <col min="5" max="5" width="34.5703125" style="2" customWidth="1"/>
    <col min="6" max="16384" width="25.7109375" style="2"/>
  </cols>
  <sheetData>
    <row r="1" spans="1:13" ht="60" customHeight="1" x14ac:dyDescent="0.25">
      <c r="A1"/>
    </row>
    <row r="2" spans="1:13" ht="35.1" customHeight="1" x14ac:dyDescent="0.25">
      <c r="A2" s="80" t="s">
        <v>136</v>
      </c>
      <c r="B2" s="80"/>
    </row>
    <row r="3" spans="1:13" ht="35.1" customHeight="1" x14ac:dyDescent="0.25">
      <c r="A3" s="4" t="s">
        <v>72</v>
      </c>
      <c r="B3" s="4" t="s">
        <v>5</v>
      </c>
      <c r="C3" s="4" t="s">
        <v>6</v>
      </c>
      <c r="D3" s="4" t="s">
        <v>8</v>
      </c>
      <c r="E3" s="5" t="s">
        <v>9</v>
      </c>
      <c r="F3" s="5" t="s">
        <v>10</v>
      </c>
    </row>
    <row r="4" spans="1:13" ht="25.15" customHeight="1" x14ac:dyDescent="0.25">
      <c r="A4" s="33" t="s">
        <v>168</v>
      </c>
      <c r="B4" s="25" t="s">
        <v>198</v>
      </c>
      <c r="C4" s="25" t="s">
        <v>191</v>
      </c>
      <c r="D4" s="61" t="s">
        <v>30</v>
      </c>
      <c r="E4" s="66" t="s">
        <v>215</v>
      </c>
      <c r="F4" s="63"/>
      <c r="G4" s="2" t="s">
        <v>59</v>
      </c>
    </row>
    <row r="5" spans="1:13" ht="25.15" customHeight="1" x14ac:dyDescent="0.25">
      <c r="A5" s="33" t="s">
        <v>137</v>
      </c>
      <c r="B5" s="25" t="s">
        <v>192</v>
      </c>
      <c r="C5" s="25" t="s">
        <v>191</v>
      </c>
      <c r="D5" s="62" t="s">
        <v>30</v>
      </c>
      <c r="E5" s="25" t="s">
        <v>217</v>
      </c>
      <c r="F5" s="64" t="s">
        <v>218</v>
      </c>
      <c r="G5" s="2" t="s">
        <v>59</v>
      </c>
      <c r="H5" s="1"/>
      <c r="I5" s="1"/>
      <c r="J5" s="1"/>
      <c r="K5" s="1"/>
      <c r="L5" s="1" t="s">
        <v>59</v>
      </c>
      <c r="M5" s="2" t="s">
        <v>59</v>
      </c>
    </row>
    <row r="6" spans="1:13" ht="25.15" customHeight="1" x14ac:dyDescent="0.25">
      <c r="A6" s="33" t="s">
        <v>138</v>
      </c>
      <c r="B6" s="25" t="s">
        <v>199</v>
      </c>
      <c r="C6" s="25" t="s">
        <v>191</v>
      </c>
      <c r="D6" s="61" t="s">
        <v>30</v>
      </c>
      <c r="E6" s="25" t="s">
        <v>216</v>
      </c>
      <c r="F6" s="65"/>
      <c r="G6" s="2" t="s">
        <v>59</v>
      </c>
    </row>
    <row r="7" spans="1:13" ht="25.15" customHeight="1" x14ac:dyDescent="0.25">
      <c r="A7" s="33" t="s">
        <v>139</v>
      </c>
      <c r="B7" s="25" t="s">
        <v>198</v>
      </c>
      <c r="C7" s="34" t="s">
        <v>190</v>
      </c>
      <c r="D7" s="62" t="s">
        <v>30</v>
      </c>
      <c r="E7" s="25" t="s">
        <v>215</v>
      </c>
      <c r="F7" s="65"/>
      <c r="G7" s="2" t="s">
        <v>59</v>
      </c>
    </row>
    <row r="8" spans="1:13" ht="25.15" customHeight="1" x14ac:dyDescent="0.25">
      <c r="A8" s="33" t="s">
        <v>140</v>
      </c>
      <c r="B8" s="25" t="s">
        <v>192</v>
      </c>
      <c r="C8" s="34" t="s">
        <v>190</v>
      </c>
      <c r="D8" s="61" t="s">
        <v>30</v>
      </c>
      <c r="E8" s="25" t="s">
        <v>217</v>
      </c>
      <c r="F8" s="65" t="s">
        <v>218</v>
      </c>
      <c r="G8" s="2" t="s">
        <v>59</v>
      </c>
    </row>
    <row r="9" spans="1:13" ht="25.15" customHeight="1" x14ac:dyDescent="0.25">
      <c r="A9" s="33" t="s">
        <v>141</v>
      </c>
      <c r="B9" s="25" t="s">
        <v>199</v>
      </c>
      <c r="C9" s="34" t="s">
        <v>190</v>
      </c>
      <c r="D9" s="62" t="s">
        <v>30</v>
      </c>
      <c r="E9" s="25" t="s">
        <v>216</v>
      </c>
      <c r="F9" s="65"/>
      <c r="G9" s="2" t="s">
        <v>59</v>
      </c>
    </row>
    <row r="10" spans="1:13" ht="25.15" customHeight="1" x14ac:dyDescent="0.25">
      <c r="A10" s="33" t="s">
        <v>142</v>
      </c>
      <c r="B10" s="25"/>
      <c r="C10" s="25"/>
      <c r="D10" s="25"/>
      <c r="E10" s="25"/>
      <c r="F10" s="25"/>
      <c r="G10" s="2" t="s">
        <v>59</v>
      </c>
    </row>
    <row r="11" spans="1:13" ht="25.15" customHeight="1" x14ac:dyDescent="0.25">
      <c r="A11" s="33" t="s">
        <v>143</v>
      </c>
      <c r="B11" s="25"/>
      <c r="C11" s="25"/>
      <c r="D11" s="25"/>
      <c r="E11" s="25"/>
      <c r="F11" s="25"/>
      <c r="G11" s="2" t="s">
        <v>59</v>
      </c>
    </row>
    <row r="12" spans="1:13" ht="25.15" customHeight="1" x14ac:dyDescent="0.25">
      <c r="A12" s="33" t="s">
        <v>144</v>
      </c>
      <c r="B12" s="25"/>
      <c r="C12" s="25"/>
      <c r="D12" s="25"/>
      <c r="E12" s="25"/>
      <c r="F12" s="25"/>
      <c r="G12" s="2" t="s">
        <v>59</v>
      </c>
    </row>
    <row r="13" spans="1:13" ht="25.15" customHeight="1" x14ac:dyDescent="0.25">
      <c r="A13" s="33" t="s">
        <v>145</v>
      </c>
      <c r="B13" s="25"/>
      <c r="C13" s="25"/>
      <c r="D13" s="25"/>
      <c r="E13" s="25"/>
      <c r="F13" s="25"/>
      <c r="G13" s="2" t="s">
        <v>59</v>
      </c>
    </row>
    <row r="14" spans="1:13" ht="25.15" customHeight="1" x14ac:dyDescent="0.25">
      <c r="A14" s="33" t="s">
        <v>146</v>
      </c>
      <c r="B14" s="25"/>
      <c r="C14" s="25"/>
      <c r="D14" s="25"/>
      <c r="E14" s="25"/>
      <c r="F14" s="25"/>
      <c r="G14" s="2" t="s">
        <v>59</v>
      </c>
    </row>
    <row r="15" spans="1:13" ht="25.15" customHeight="1" x14ac:dyDescent="0.25">
      <c r="A15" s="33" t="s">
        <v>147</v>
      </c>
      <c r="B15" s="25"/>
      <c r="C15" s="25"/>
      <c r="D15" s="25"/>
      <c r="E15" s="25"/>
      <c r="F15" s="25"/>
      <c r="G15" s="2" t="s">
        <v>59</v>
      </c>
    </row>
    <row r="16" spans="1:13" ht="25.15" customHeight="1" x14ac:dyDescent="0.25">
      <c r="A16" s="33" t="s">
        <v>148</v>
      </c>
      <c r="B16" s="25"/>
      <c r="C16" s="25"/>
      <c r="D16" s="25"/>
      <c r="E16" s="25"/>
      <c r="F16" s="25"/>
      <c r="G16" s="2" t="s">
        <v>59</v>
      </c>
    </row>
    <row r="17" spans="1:7" ht="25.15" customHeight="1" x14ac:dyDescent="0.25">
      <c r="A17" s="33" t="s">
        <v>149</v>
      </c>
      <c r="B17" s="25"/>
      <c r="C17" s="25"/>
      <c r="D17" s="25"/>
      <c r="E17" s="25"/>
      <c r="F17" s="25"/>
      <c r="G17" s="2" t="s">
        <v>59</v>
      </c>
    </row>
    <row r="18" spans="1:7" ht="25.15" customHeight="1" x14ac:dyDescent="0.25">
      <c r="A18" s="33" t="s">
        <v>150</v>
      </c>
      <c r="B18" s="25"/>
      <c r="C18" s="25"/>
      <c r="D18" s="25"/>
      <c r="E18" s="25"/>
      <c r="F18" s="25"/>
      <c r="G18" s="2" t="s">
        <v>59</v>
      </c>
    </row>
    <row r="19" spans="1:7" ht="25.15" customHeight="1" x14ac:dyDescent="0.25">
      <c r="A19" s="33" t="s">
        <v>151</v>
      </c>
      <c r="B19" s="25"/>
      <c r="C19" s="25"/>
      <c r="D19" s="25"/>
      <c r="E19" s="25"/>
      <c r="F19" s="25"/>
      <c r="G19" s="2" t="s">
        <v>59</v>
      </c>
    </row>
    <row r="20" spans="1:7" ht="25.15" customHeight="1" x14ac:dyDescent="0.25">
      <c r="A20" s="33" t="s">
        <v>152</v>
      </c>
      <c r="B20" s="25"/>
      <c r="C20" s="25"/>
      <c r="D20" s="25"/>
      <c r="E20" s="25"/>
      <c r="F20" s="25"/>
      <c r="G20" s="2" t="s">
        <v>59</v>
      </c>
    </row>
    <row r="21" spans="1:7" ht="25.15" customHeight="1" x14ac:dyDescent="0.25">
      <c r="A21" s="33" t="s">
        <v>153</v>
      </c>
      <c r="B21" s="25"/>
      <c r="C21" s="25"/>
      <c r="D21" s="25"/>
      <c r="E21" s="25"/>
      <c r="F21" s="25"/>
      <c r="G21" s="2" t="s">
        <v>59</v>
      </c>
    </row>
    <row r="22" spans="1:7" ht="25.15" customHeight="1" x14ac:dyDescent="0.25">
      <c r="A22" s="33" t="s">
        <v>154</v>
      </c>
      <c r="B22" s="25"/>
      <c r="C22" s="25"/>
      <c r="D22" s="25"/>
      <c r="E22" s="25"/>
      <c r="F22" s="25"/>
      <c r="G22" s="2" t="s">
        <v>59</v>
      </c>
    </row>
    <row r="23" spans="1:7" ht="25.15" customHeight="1" x14ac:dyDescent="0.25">
      <c r="A23" s="33" t="s">
        <v>155</v>
      </c>
      <c r="B23" s="25"/>
      <c r="C23" s="25"/>
      <c r="D23" s="25"/>
      <c r="E23" s="25"/>
      <c r="F23" s="25"/>
      <c r="G23" s="2" t="s">
        <v>59</v>
      </c>
    </row>
    <row r="24" spans="1:7" ht="25.15" customHeight="1" x14ac:dyDescent="0.25"/>
    <row r="25" spans="1:7" ht="25.15" customHeight="1" x14ac:dyDescent="0.25"/>
    <row r="26" spans="1:7" ht="25.15" customHeight="1" x14ac:dyDescent="0.25"/>
    <row r="27" spans="1:7" ht="25.15" customHeight="1" x14ac:dyDescent="0.25"/>
    <row r="28" spans="1:7" ht="25.15" customHeight="1" x14ac:dyDescent="0.25"/>
    <row r="29" spans="1:7" ht="25.15" customHeight="1" x14ac:dyDescent="0.25"/>
    <row r="30" spans="1:7" ht="25.15" customHeight="1" x14ac:dyDescent="0.25"/>
    <row r="31" spans="1:7" ht="25.15" customHeight="1" x14ac:dyDescent="0.25"/>
    <row r="32" spans="1:7"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sheetData>
  <mergeCells count="1">
    <mergeCell ref="A2:B2"/>
  </mergeCells>
  <phoneticPr fontId="2" type="noConversion"/>
  <dataValidations disablePrompts="1" count="6">
    <dataValidation type="decimal" allowBlank="1" showInputMessage="1" showErrorMessage="1" sqref="H5">
      <formula1>0</formula1>
      <formula2>1E+23</formula2>
    </dataValidation>
    <dataValidation allowBlank="1" showInputMessage="1" showErrorMessage="1" prompt="Name of your reactant/small molecule. " sqref="B3"/>
    <dataValidation allowBlank="1" showInputMessage="1" showErrorMessage="1" prompt="Choose the vessel that has been used via dropdown._x000a_" sqref="C3"/>
    <dataValidation allowBlank="1" showInputMessage="1" showErrorMessage="1" prompt="Whether or not the concentration of given reactant varies over time." sqref="D3"/>
    <dataValidation allowBlank="1" showInputMessage="1" showErrorMessage="1" prompt="Simplified Molecular Input Line Entry Specification that uniquely identifies the species_x000a_" sqref="E3"/>
    <dataValidation allowBlank="1" showInputMessage="1" showErrorMessage="1" prompt="International Chemical Identifier that uniquely identifies the species_x000a_" sqref="F3"/>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Documentation!$J$4:$J$5</xm:f>
          </x14:formula1>
          <xm:sqref>J5 D4:D23</xm:sqref>
        </x14:dataValidation>
        <x14:dataValidation type="list" allowBlank="1" showInputMessage="1" showErrorMessage="1">
          <x14:formula1>
            <xm:f>Vessels!$B$4:$B$23</xm:f>
          </x14:formula1>
          <xm:sqref>C4:C23</xm:sqref>
        </x14:dataValidation>
        <x14:dataValidation type="list" allowBlank="1" showInputMessage="1" showErrorMessage="1">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9" tint="0.39997558519241921"/>
  </sheetPr>
  <dimension ref="A1:I390"/>
  <sheetViews>
    <sheetView showGridLines="0" zoomScaleNormal="100" workbookViewId="0">
      <selection activeCell="H5" sqref="H5"/>
    </sheetView>
  </sheetViews>
  <sheetFormatPr defaultColWidth="25.7109375" defaultRowHeight="20.100000000000001" customHeight="1" x14ac:dyDescent="0.25"/>
  <cols>
    <col min="1" max="1" width="25.7109375" style="2"/>
    <col min="2" max="2" width="35.7109375" style="2" customWidth="1"/>
    <col min="3" max="16384" width="25.7109375" style="2"/>
  </cols>
  <sheetData>
    <row r="1" spans="1:9" ht="60" customHeight="1" x14ac:dyDescent="0.25">
      <c r="A1"/>
    </row>
    <row r="2" spans="1:9" ht="35.1" customHeight="1" x14ac:dyDescent="0.25">
      <c r="A2" s="80" t="s">
        <v>132</v>
      </c>
      <c r="B2" s="80"/>
      <c r="C2" s="1"/>
      <c r="D2" s="1"/>
      <c r="E2" s="1"/>
    </row>
    <row r="3" spans="1:9" ht="35.1" customHeight="1" x14ac:dyDescent="0.25">
      <c r="A3" s="4" t="s">
        <v>72</v>
      </c>
      <c r="B3" s="4" t="s">
        <v>5</v>
      </c>
      <c r="C3" s="4" t="s">
        <v>34</v>
      </c>
      <c r="D3" s="4" t="s">
        <v>6</v>
      </c>
      <c r="E3" s="4" t="s">
        <v>8</v>
      </c>
      <c r="F3" s="5" t="s">
        <v>61</v>
      </c>
      <c r="G3" s="5" t="s">
        <v>35</v>
      </c>
      <c r="H3" s="5" t="s">
        <v>36</v>
      </c>
    </row>
    <row r="4" spans="1:9" ht="25.15" customHeight="1" x14ac:dyDescent="0.25">
      <c r="A4" s="34" t="s">
        <v>167</v>
      </c>
      <c r="B4" s="25" t="s">
        <v>203</v>
      </c>
      <c r="C4" s="25" t="s">
        <v>194</v>
      </c>
      <c r="D4" s="34" t="s">
        <v>190</v>
      </c>
      <c r="E4" s="34" t="s">
        <v>8</v>
      </c>
      <c r="F4" s="34" t="s">
        <v>195</v>
      </c>
      <c r="G4" s="35" t="s">
        <v>196</v>
      </c>
      <c r="H4" s="34" t="s">
        <v>197</v>
      </c>
      <c r="I4" s="2" t="s">
        <v>59</v>
      </c>
    </row>
    <row r="5" spans="1:9" ht="25.15" customHeight="1" x14ac:dyDescent="0.25">
      <c r="A5" s="34" t="s">
        <v>71</v>
      </c>
      <c r="B5" s="25" t="s">
        <v>204</v>
      </c>
      <c r="C5" s="25" t="s">
        <v>194</v>
      </c>
      <c r="D5" s="34" t="s">
        <v>191</v>
      </c>
      <c r="E5" s="34" t="s">
        <v>8</v>
      </c>
      <c r="F5" s="34" t="s">
        <v>195</v>
      </c>
      <c r="G5" s="35" t="s">
        <v>196</v>
      </c>
      <c r="H5" s="34" t="s">
        <v>197</v>
      </c>
      <c r="I5" s="2" t="s">
        <v>59</v>
      </c>
    </row>
    <row r="6" spans="1:9" ht="25.15" customHeight="1" x14ac:dyDescent="0.25">
      <c r="A6" s="34" t="s">
        <v>91</v>
      </c>
      <c r="B6" s="25" t="s">
        <v>193</v>
      </c>
      <c r="C6" s="25" t="s">
        <v>194</v>
      </c>
      <c r="D6" s="34" t="s">
        <v>191</v>
      </c>
      <c r="E6" s="34" t="s">
        <v>8</v>
      </c>
      <c r="F6" s="34" t="s">
        <v>195</v>
      </c>
      <c r="G6" s="35" t="s">
        <v>196</v>
      </c>
      <c r="H6" s="34" t="s">
        <v>197</v>
      </c>
      <c r="I6" s="2" t="s">
        <v>59</v>
      </c>
    </row>
    <row r="7" spans="1:9" ht="25.15" customHeight="1" x14ac:dyDescent="0.25">
      <c r="A7" s="34" t="s">
        <v>92</v>
      </c>
      <c r="B7" s="25"/>
      <c r="C7" s="25"/>
      <c r="D7" s="25"/>
      <c r="E7" s="25"/>
      <c r="F7" s="25"/>
      <c r="G7" s="25"/>
      <c r="H7" s="25"/>
      <c r="I7" s="2" t="s">
        <v>59</v>
      </c>
    </row>
    <row r="8" spans="1:9" ht="25.15" customHeight="1" x14ac:dyDescent="0.25">
      <c r="A8" s="34" t="s">
        <v>93</v>
      </c>
      <c r="B8" s="25"/>
      <c r="C8" s="25"/>
      <c r="D8" s="25"/>
      <c r="E8" s="25"/>
      <c r="F8" s="25"/>
      <c r="G8" s="25"/>
      <c r="H8" s="25"/>
      <c r="I8" s="2" t="s">
        <v>59</v>
      </c>
    </row>
    <row r="9" spans="1:9" ht="25.15" customHeight="1" x14ac:dyDescent="0.25">
      <c r="A9" s="34" t="s">
        <v>94</v>
      </c>
      <c r="B9" s="25"/>
      <c r="C9" s="25"/>
      <c r="D9" s="25"/>
      <c r="E9" s="25"/>
      <c r="F9" s="25"/>
      <c r="G9" s="25"/>
      <c r="H9" s="25"/>
      <c r="I9" s="2" t="s">
        <v>59</v>
      </c>
    </row>
    <row r="10" spans="1:9" ht="25.15" customHeight="1" x14ac:dyDescent="0.25">
      <c r="A10" s="34" t="s">
        <v>95</v>
      </c>
      <c r="B10" s="25"/>
      <c r="C10" s="25"/>
      <c r="D10" s="25"/>
      <c r="E10" s="25"/>
      <c r="F10" s="25"/>
      <c r="G10" s="25"/>
      <c r="H10" s="25"/>
      <c r="I10" s="2" t="s">
        <v>59</v>
      </c>
    </row>
    <row r="11" spans="1:9" ht="25.15" customHeight="1" x14ac:dyDescent="0.25">
      <c r="A11" s="34" t="s">
        <v>96</v>
      </c>
      <c r="B11" s="25"/>
      <c r="C11" s="25"/>
      <c r="D11" s="25"/>
      <c r="E11" s="25"/>
      <c r="F11" s="25"/>
      <c r="G11" s="25"/>
      <c r="H11" s="25"/>
      <c r="I11" s="2" t="s">
        <v>59</v>
      </c>
    </row>
    <row r="12" spans="1:9" ht="25.15" customHeight="1" x14ac:dyDescent="0.25">
      <c r="A12" s="34" t="s">
        <v>97</v>
      </c>
      <c r="B12" s="25"/>
      <c r="C12" s="25"/>
      <c r="D12" s="25"/>
      <c r="E12" s="25"/>
      <c r="F12" s="25"/>
      <c r="G12" s="25"/>
      <c r="H12" s="25"/>
      <c r="I12" s="2" t="s">
        <v>59</v>
      </c>
    </row>
    <row r="13" spans="1:9" ht="25.15" customHeight="1" x14ac:dyDescent="0.25">
      <c r="A13" s="34" t="s">
        <v>98</v>
      </c>
      <c r="B13" s="25"/>
      <c r="C13" s="25"/>
      <c r="D13" s="25"/>
      <c r="E13" s="25"/>
      <c r="F13" s="25"/>
      <c r="G13" s="25"/>
      <c r="H13" s="25"/>
      <c r="I13" s="2" t="s">
        <v>59</v>
      </c>
    </row>
    <row r="14" spans="1:9" ht="25.15" customHeight="1" x14ac:dyDescent="0.25">
      <c r="A14" s="34" t="s">
        <v>99</v>
      </c>
      <c r="B14" s="25"/>
      <c r="C14" s="25"/>
      <c r="D14" s="25"/>
      <c r="E14" s="25"/>
      <c r="F14" s="25"/>
      <c r="G14" s="25"/>
      <c r="H14" s="25"/>
      <c r="I14" s="2" t="s">
        <v>59</v>
      </c>
    </row>
    <row r="15" spans="1:9" ht="25.15" customHeight="1" x14ac:dyDescent="0.25">
      <c r="A15" s="34" t="s">
        <v>100</v>
      </c>
      <c r="B15" s="25"/>
      <c r="C15" s="25"/>
      <c r="D15" s="25"/>
      <c r="E15" s="25"/>
      <c r="F15" s="25"/>
      <c r="G15" s="25"/>
      <c r="H15" s="25"/>
      <c r="I15" s="2" t="s">
        <v>59</v>
      </c>
    </row>
    <row r="16" spans="1:9" ht="25.15" customHeight="1" x14ac:dyDescent="0.25">
      <c r="A16" s="34" t="s">
        <v>101</v>
      </c>
      <c r="B16" s="25"/>
      <c r="C16" s="25"/>
      <c r="D16" s="25"/>
      <c r="E16" s="25"/>
      <c r="F16" s="25"/>
      <c r="G16" s="25"/>
      <c r="H16" s="25"/>
      <c r="I16" s="2" t="s">
        <v>59</v>
      </c>
    </row>
    <row r="17" spans="1:9" ht="25.15" customHeight="1" x14ac:dyDescent="0.25">
      <c r="A17" s="34" t="s">
        <v>102</v>
      </c>
      <c r="B17" s="25"/>
      <c r="C17" s="25"/>
      <c r="D17" s="25"/>
      <c r="E17" s="25"/>
      <c r="F17" s="25"/>
      <c r="G17" s="25"/>
      <c r="H17" s="25"/>
      <c r="I17" s="2" t="s">
        <v>59</v>
      </c>
    </row>
    <row r="18" spans="1:9" ht="25.15" customHeight="1" x14ac:dyDescent="0.25">
      <c r="A18" s="34" t="s">
        <v>103</v>
      </c>
      <c r="B18" s="25"/>
      <c r="C18" s="25"/>
      <c r="D18" s="25"/>
      <c r="E18" s="25"/>
      <c r="F18" s="25"/>
      <c r="G18" s="25"/>
      <c r="H18" s="25"/>
      <c r="I18" s="2" t="s">
        <v>59</v>
      </c>
    </row>
    <row r="19" spans="1:9" ht="25.15" customHeight="1" x14ac:dyDescent="0.25">
      <c r="A19" s="34" t="s">
        <v>104</v>
      </c>
      <c r="B19" s="25"/>
      <c r="C19" s="25"/>
      <c r="D19" s="25"/>
      <c r="E19" s="25"/>
      <c r="F19" s="25"/>
      <c r="G19" s="25"/>
      <c r="H19" s="25"/>
      <c r="I19" s="2" t="s">
        <v>59</v>
      </c>
    </row>
    <row r="20" spans="1:9" ht="25.15" customHeight="1" x14ac:dyDescent="0.25">
      <c r="A20" s="34" t="s">
        <v>105</v>
      </c>
      <c r="B20" s="25"/>
      <c r="C20" s="25"/>
      <c r="D20" s="25"/>
      <c r="E20" s="25"/>
      <c r="F20" s="25"/>
      <c r="G20" s="25"/>
      <c r="H20" s="25"/>
      <c r="I20" s="2" t="s">
        <v>59</v>
      </c>
    </row>
    <row r="21" spans="1:9" ht="25.15" customHeight="1" x14ac:dyDescent="0.25">
      <c r="A21" s="34" t="s">
        <v>106</v>
      </c>
      <c r="B21" s="25"/>
      <c r="C21" s="25"/>
      <c r="D21" s="25"/>
      <c r="E21" s="25"/>
      <c r="F21" s="25"/>
      <c r="G21" s="25"/>
      <c r="H21" s="25"/>
      <c r="I21" s="2" t="s">
        <v>59</v>
      </c>
    </row>
    <row r="22" spans="1:9" ht="25.15" customHeight="1" x14ac:dyDescent="0.25">
      <c r="A22" s="34" t="s">
        <v>107</v>
      </c>
      <c r="B22" s="25"/>
      <c r="C22" s="25"/>
      <c r="D22" s="25"/>
      <c r="E22" s="25"/>
      <c r="F22" s="25"/>
      <c r="G22" s="25"/>
      <c r="H22" s="25"/>
      <c r="I22" s="2" t="s">
        <v>59</v>
      </c>
    </row>
    <row r="23" spans="1:9" ht="25.15" customHeight="1" x14ac:dyDescent="0.25">
      <c r="A23" s="34" t="s">
        <v>108</v>
      </c>
      <c r="B23" s="25"/>
      <c r="C23" s="25"/>
      <c r="D23" s="25"/>
      <c r="E23" s="25"/>
      <c r="F23" s="25"/>
      <c r="G23" s="25"/>
      <c r="H23" s="25"/>
      <c r="I23" s="2" t="s">
        <v>59</v>
      </c>
    </row>
    <row r="24" spans="1:9" ht="25.15" customHeight="1" x14ac:dyDescent="0.25"/>
    <row r="25" spans="1:9" ht="25.15" customHeight="1" x14ac:dyDescent="0.25"/>
    <row r="26" spans="1:9" ht="25.15" customHeight="1" x14ac:dyDescent="0.25"/>
    <row r="27" spans="1:9" ht="25.15" customHeight="1" x14ac:dyDescent="0.25"/>
    <row r="28" spans="1:9" ht="25.15" customHeight="1" x14ac:dyDescent="0.25"/>
    <row r="29" spans="1:9" ht="25.15" customHeight="1" x14ac:dyDescent="0.25"/>
    <row r="30" spans="1:9" ht="25.15" customHeight="1" x14ac:dyDescent="0.25"/>
    <row r="31" spans="1:9" ht="25.15" customHeight="1" x14ac:dyDescent="0.25"/>
    <row r="32" spans="1:9"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sheetData>
  <mergeCells count="1">
    <mergeCell ref="A2:B2"/>
  </mergeCells>
  <phoneticPr fontId="2" type="noConversion"/>
  <dataValidations count="8">
    <dataValidation type="decimal" allowBlank="1" showInputMessage="1" showErrorMessage="1" sqref="K4">
      <formula1>0</formula1>
      <formula2>1E+23</formula2>
    </dataValidation>
    <dataValidation allowBlank="1" showInputMessage="1" showErrorMessage="1" prompt="Name of the protein used in your experiment" sqref="B3"/>
    <dataValidation allowBlank="1" showInputMessage="1" showErrorMessage="1" prompt="Primary sequence of your protein" sqref="C3"/>
    <dataValidation allowBlank="1" showInputMessage="1" showErrorMessage="1" prompt="Choose the vessel that has been used via dropdown." sqref="D3"/>
    <dataValidation allowBlank="1" showInputMessage="1" showErrorMessage="1" prompt="Whether or not the concentration of given protein varies over time." sqref="E3"/>
    <dataValidation allowBlank="1" showInputMessage="1" showErrorMessage="1" prompt="Source organism from which the given protein originated from" sqref="F3"/>
    <dataValidation allowBlank="1" showInputMessage="1" showErrorMessage="1" prompt="Enzyme Commission number of your protein" sqref="G3"/>
    <dataValidation allowBlank="1" showInputMessage="1" showErrorMessage="1" prompt="UniProt Identifier for your protein" sqref="H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'General Information'!$A$18:$A$291</xm:f>
          </x14:formula1>
          <xm:sqref>J4</xm:sqref>
        </x14:dataValidation>
        <x14:dataValidation type="list" allowBlank="1" showInputMessage="1" showErrorMessage="1">
          <x14:formula1>
            <xm:f>Documentation!$J$4:$J$5</xm:f>
          </x14:formula1>
          <xm:sqref>M4:N4 E4:E23</xm:sqref>
        </x14:dataValidation>
        <x14:dataValidation type="list" allowBlank="1" showInputMessage="1" showErrorMessage="1">
          <x14:formula1>
            <xm:f>Vessels!$B$4:$B$23</xm:f>
          </x14:formula1>
          <xm:sqref>D4:D23</xm:sqref>
        </x14:dataValidation>
        <x14:dataValidation type="list" allowBlank="1" showInputMessage="1" showErrorMessage="1">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5" tint="0.39997558519241921"/>
  </sheetPr>
  <dimension ref="A1:J353"/>
  <sheetViews>
    <sheetView showGridLines="0" zoomScale="85" zoomScaleNormal="85" workbookViewId="0">
      <selection activeCell="D25" sqref="D25"/>
    </sheetView>
  </sheetViews>
  <sheetFormatPr defaultColWidth="25.7109375" defaultRowHeight="20.100000000000001" customHeight="1" x14ac:dyDescent="0.25"/>
  <cols>
    <col min="1" max="8" width="25.7109375" style="2"/>
    <col min="9" max="9" width="33" style="2" customWidth="1"/>
    <col min="10" max="16384" width="25.7109375" style="2"/>
  </cols>
  <sheetData>
    <row r="1" spans="1:10" ht="60" customHeight="1" x14ac:dyDescent="0.25">
      <c r="A1"/>
    </row>
    <row r="2" spans="1:10" ht="35.1" customHeight="1" x14ac:dyDescent="0.25">
      <c r="A2" s="80" t="s">
        <v>130</v>
      </c>
      <c r="B2" s="80"/>
      <c r="C2" s="7"/>
    </row>
    <row r="3" spans="1:10" ht="35.1" customHeight="1" x14ac:dyDescent="0.25">
      <c r="A3" s="4" t="s">
        <v>72</v>
      </c>
      <c r="B3" s="4" t="s">
        <v>5</v>
      </c>
      <c r="C3" s="4" t="s">
        <v>37</v>
      </c>
      <c r="D3" s="4" t="s">
        <v>39</v>
      </c>
      <c r="E3" s="4" t="s">
        <v>38</v>
      </c>
      <c r="F3" s="4" t="s">
        <v>181</v>
      </c>
      <c r="G3" s="4" t="s">
        <v>40</v>
      </c>
      <c r="H3" s="4" t="s">
        <v>41</v>
      </c>
      <c r="I3" s="4" t="s">
        <v>33</v>
      </c>
      <c r="J3" s="4" t="s">
        <v>42</v>
      </c>
    </row>
    <row r="4" spans="1:10" ht="25.15" customHeight="1" x14ac:dyDescent="0.25">
      <c r="A4" s="34" t="s">
        <v>170</v>
      </c>
      <c r="B4" s="34" t="s">
        <v>201</v>
      </c>
      <c r="C4" s="34">
        <v>38</v>
      </c>
      <c r="D4" s="34" t="s">
        <v>43</v>
      </c>
      <c r="E4" s="59">
        <v>5.2</v>
      </c>
      <c r="F4" s="34" t="s">
        <v>183</v>
      </c>
      <c r="G4" s="34" t="s">
        <v>200</v>
      </c>
      <c r="H4" s="34" t="s">
        <v>199</v>
      </c>
      <c r="I4" s="34" t="s">
        <v>193</v>
      </c>
      <c r="J4" s="34"/>
    </row>
    <row r="5" spans="1:10" ht="25.15" customHeight="1" x14ac:dyDescent="0.25">
      <c r="A5" s="34" t="s">
        <v>70</v>
      </c>
      <c r="B5" s="34" t="s">
        <v>202</v>
      </c>
      <c r="C5" s="34">
        <v>38</v>
      </c>
      <c r="D5" s="34" t="s">
        <v>43</v>
      </c>
      <c r="E5" s="59">
        <v>5.2</v>
      </c>
      <c r="F5" s="34" t="s">
        <v>183</v>
      </c>
      <c r="G5" s="34" t="s">
        <v>200</v>
      </c>
      <c r="H5" s="34" t="s">
        <v>199</v>
      </c>
      <c r="I5" s="34" t="s">
        <v>193</v>
      </c>
      <c r="J5" s="25"/>
    </row>
    <row r="6" spans="1:10" ht="25.15" customHeight="1" x14ac:dyDescent="0.25">
      <c r="A6" s="34" t="s">
        <v>73</v>
      </c>
      <c r="B6" s="25" t="s">
        <v>214</v>
      </c>
      <c r="C6" s="25">
        <v>38</v>
      </c>
      <c r="D6" s="25" t="s">
        <v>43</v>
      </c>
      <c r="E6" s="59">
        <v>5.2</v>
      </c>
      <c r="F6" s="34" t="s">
        <v>183</v>
      </c>
      <c r="G6" s="34" t="s">
        <v>200</v>
      </c>
      <c r="H6" s="25" t="s">
        <v>199</v>
      </c>
      <c r="I6" s="25" t="s">
        <v>193</v>
      </c>
      <c r="J6" s="25"/>
    </row>
    <row r="7" spans="1:10" ht="25.15" customHeight="1" x14ac:dyDescent="0.25">
      <c r="A7" s="34" t="s">
        <v>74</v>
      </c>
      <c r="B7" s="25"/>
      <c r="C7" s="25"/>
      <c r="D7" s="25"/>
      <c r="E7" s="25"/>
      <c r="F7" s="34"/>
      <c r="G7" s="25"/>
      <c r="H7" s="25"/>
      <c r="I7" s="25"/>
      <c r="J7" s="25"/>
    </row>
    <row r="8" spans="1:10" ht="25.15" customHeight="1" x14ac:dyDescent="0.25">
      <c r="A8" s="34" t="s">
        <v>75</v>
      </c>
      <c r="B8" s="25"/>
      <c r="C8" s="25"/>
      <c r="D8" s="25"/>
      <c r="E8" s="25"/>
      <c r="F8" s="34"/>
      <c r="G8" s="25"/>
      <c r="H8" s="25"/>
      <c r="I8" s="25"/>
      <c r="J8" s="25"/>
    </row>
    <row r="9" spans="1:10" ht="25.15" customHeight="1" x14ac:dyDescent="0.25">
      <c r="A9" s="34" t="s">
        <v>76</v>
      </c>
      <c r="B9" s="25"/>
      <c r="C9" s="25"/>
      <c r="D9" s="25"/>
      <c r="E9" s="25"/>
      <c r="F9" s="34"/>
      <c r="G9" s="25"/>
      <c r="H9" s="25"/>
      <c r="I9" s="25"/>
      <c r="J9" s="25"/>
    </row>
    <row r="10" spans="1:10" ht="25.15" customHeight="1" x14ac:dyDescent="0.25">
      <c r="A10" s="34" t="s">
        <v>77</v>
      </c>
      <c r="B10" s="25"/>
      <c r="C10" s="25"/>
      <c r="D10" s="25"/>
      <c r="E10" s="25"/>
      <c r="F10" s="34"/>
      <c r="G10" s="25"/>
      <c r="H10" s="25"/>
      <c r="I10" s="25"/>
      <c r="J10" s="25"/>
    </row>
    <row r="11" spans="1:10" ht="25.15" customHeight="1" x14ac:dyDescent="0.25">
      <c r="A11" s="34" t="s">
        <v>78</v>
      </c>
      <c r="B11" s="25"/>
      <c r="C11" s="25"/>
      <c r="D11" s="25"/>
      <c r="E11" s="25"/>
      <c r="F11" s="34"/>
      <c r="G11" s="25"/>
      <c r="H11" s="25"/>
      <c r="I11" s="25"/>
      <c r="J11" s="25"/>
    </row>
    <row r="12" spans="1:10" ht="25.15" customHeight="1" x14ac:dyDescent="0.25">
      <c r="A12" s="34" t="s">
        <v>79</v>
      </c>
      <c r="B12" s="25"/>
      <c r="C12" s="25"/>
      <c r="D12" s="25"/>
      <c r="E12" s="25"/>
      <c r="F12" s="34"/>
      <c r="G12" s="25"/>
      <c r="H12" s="25"/>
      <c r="I12" s="25"/>
      <c r="J12" s="25"/>
    </row>
    <row r="13" spans="1:10" ht="25.15" customHeight="1" x14ac:dyDescent="0.25">
      <c r="A13" s="34" t="s">
        <v>80</v>
      </c>
      <c r="B13" s="25"/>
      <c r="C13" s="25"/>
      <c r="D13" s="25"/>
      <c r="E13" s="25"/>
      <c r="F13" s="34"/>
      <c r="G13" s="25"/>
      <c r="H13" s="25"/>
      <c r="I13" s="25"/>
      <c r="J13" s="25"/>
    </row>
    <row r="14" spans="1:10" ht="25.15" customHeight="1" x14ac:dyDescent="0.25">
      <c r="A14" s="34" t="s">
        <v>81</v>
      </c>
      <c r="B14" s="25"/>
      <c r="C14" s="25"/>
      <c r="D14" s="25"/>
      <c r="E14" s="25"/>
      <c r="F14" s="34"/>
      <c r="G14" s="25"/>
      <c r="H14" s="25"/>
      <c r="I14" s="25"/>
      <c r="J14" s="25"/>
    </row>
    <row r="15" spans="1:10" ht="25.15" customHeight="1" x14ac:dyDescent="0.25">
      <c r="A15" s="34" t="s">
        <v>82</v>
      </c>
      <c r="B15" s="25"/>
      <c r="C15" s="25"/>
      <c r="D15" s="25"/>
      <c r="E15" s="25"/>
      <c r="F15" s="34"/>
      <c r="G15" s="25"/>
      <c r="H15" s="25"/>
      <c r="I15" s="25"/>
      <c r="J15" s="25"/>
    </row>
    <row r="16" spans="1:10" ht="25.15" customHeight="1" x14ac:dyDescent="0.25">
      <c r="A16" s="34" t="s">
        <v>83</v>
      </c>
      <c r="B16" s="25"/>
      <c r="C16" s="25"/>
      <c r="D16" s="25"/>
      <c r="E16" s="25"/>
      <c r="F16" s="34"/>
      <c r="G16" s="25"/>
      <c r="H16" s="25"/>
      <c r="I16" s="25"/>
      <c r="J16" s="25"/>
    </row>
    <row r="17" spans="1:10" ht="25.15" customHeight="1" x14ac:dyDescent="0.25">
      <c r="A17" s="34" t="s">
        <v>84</v>
      </c>
      <c r="B17" s="25"/>
      <c r="C17" s="25"/>
      <c r="D17" s="25"/>
      <c r="E17" s="25"/>
      <c r="F17" s="34"/>
      <c r="G17" s="25"/>
      <c r="H17" s="25"/>
      <c r="I17" s="25"/>
      <c r="J17" s="25"/>
    </row>
    <row r="18" spans="1:10" ht="25.15" customHeight="1" x14ac:dyDescent="0.25">
      <c r="A18" s="34" t="s">
        <v>85</v>
      </c>
      <c r="B18" s="25"/>
      <c r="C18" s="25"/>
      <c r="D18" s="25"/>
      <c r="E18" s="25"/>
      <c r="F18" s="34"/>
      <c r="G18" s="25"/>
      <c r="H18" s="25"/>
      <c r="I18" s="25"/>
      <c r="J18" s="25"/>
    </row>
    <row r="19" spans="1:10" ht="25.15" customHeight="1" x14ac:dyDescent="0.25">
      <c r="A19" s="34" t="s">
        <v>86</v>
      </c>
      <c r="B19" s="25"/>
      <c r="C19" s="25"/>
      <c r="D19" s="25"/>
      <c r="E19" s="25"/>
      <c r="F19" s="34"/>
      <c r="G19" s="25"/>
      <c r="H19" s="25"/>
      <c r="I19" s="25"/>
      <c r="J19" s="25"/>
    </row>
    <row r="20" spans="1:10" ht="25.15" customHeight="1" x14ac:dyDescent="0.25">
      <c r="A20" s="34" t="s">
        <v>87</v>
      </c>
      <c r="B20" s="25"/>
      <c r="C20" s="25"/>
      <c r="D20" s="25"/>
      <c r="E20" s="25"/>
      <c r="F20" s="34"/>
      <c r="G20" s="25"/>
      <c r="H20" s="25"/>
      <c r="I20" s="25"/>
      <c r="J20" s="25"/>
    </row>
    <row r="21" spans="1:10" ht="25.15" customHeight="1" x14ac:dyDescent="0.25">
      <c r="A21" s="34" t="s">
        <v>88</v>
      </c>
      <c r="B21" s="25"/>
      <c r="C21" s="25"/>
      <c r="D21" s="25"/>
      <c r="E21" s="25"/>
      <c r="F21" s="34"/>
      <c r="G21" s="25"/>
      <c r="H21" s="25"/>
      <c r="I21" s="25"/>
      <c r="J21" s="25"/>
    </row>
    <row r="22" spans="1:10" ht="25.15" customHeight="1" x14ac:dyDescent="0.25">
      <c r="A22" s="34" t="s">
        <v>89</v>
      </c>
      <c r="B22" s="25"/>
      <c r="C22" s="25"/>
      <c r="D22" s="25"/>
      <c r="E22" s="25"/>
      <c r="F22" s="34"/>
      <c r="G22" s="25"/>
      <c r="H22" s="25"/>
      <c r="I22" s="25"/>
      <c r="J22" s="25"/>
    </row>
    <row r="23" spans="1:10" ht="25.15" customHeight="1" x14ac:dyDescent="0.25">
      <c r="A23" s="34" t="s">
        <v>90</v>
      </c>
      <c r="B23" s="25"/>
      <c r="C23" s="25"/>
      <c r="D23" s="25"/>
      <c r="E23" s="25"/>
      <c r="F23" s="34"/>
      <c r="G23" s="25"/>
      <c r="H23" s="25"/>
      <c r="I23" s="25"/>
      <c r="J23" s="25"/>
    </row>
    <row r="24" spans="1:10" ht="25.15" customHeight="1" x14ac:dyDescent="0.25"/>
    <row r="25" spans="1:10" ht="25.15" customHeight="1" x14ac:dyDescent="0.25"/>
    <row r="26" spans="1:10" ht="25.15" customHeight="1" x14ac:dyDescent="0.25"/>
    <row r="27" spans="1:10" ht="25.15" customHeight="1" x14ac:dyDescent="0.25"/>
    <row r="28" spans="1:10" ht="25.15" customHeight="1" x14ac:dyDescent="0.25"/>
    <row r="29" spans="1:10" ht="25.15" customHeight="1" x14ac:dyDescent="0.25"/>
    <row r="30" spans="1:10" ht="25.15" customHeight="1" x14ac:dyDescent="0.25"/>
    <row r="31" spans="1:10" ht="25.15" customHeight="1" x14ac:dyDescent="0.25"/>
    <row r="32" spans="1:10"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sheetData>
  <mergeCells count="1">
    <mergeCell ref="A2:B2"/>
  </mergeCells>
  <phoneticPr fontId="2" type="noConversion"/>
  <dataValidations count="11">
    <dataValidation type="decimal" allowBlank="1" showInputMessage="1" showErrorMessage="1" sqref="E4:E23">
      <formula1>0</formula1>
      <formula2>1E+23</formula2>
    </dataValidation>
    <dataValidation type="decimal" allowBlank="1" showInputMessage="1" showErrorMessage="1" sqref="C4:C23">
      <formula1>-100</formula1>
      <formula2>10000000</formula2>
    </dataValidation>
    <dataValidation allowBlank="1" showInputMessage="1" showErrorMessage="1" prompt="Name of your reaction" sqref="B3"/>
    <dataValidation allowBlank="1" showInputMessage="1" showErrorMessage="1" prompt="Numeric value of the temperature the experiment was executed at" sqref="C3"/>
    <dataValidation allowBlank="1" showInputMessage="1" showErrorMessage="1" prompt="Choose the unit of your vessel volume via dropdown" sqref="D3"/>
    <dataValidation allowBlank="1" showInputMessage="1" showErrorMessage="1" prompt="pH value at which your reaction was executed" sqref="E3"/>
    <dataValidation allowBlank="1" showInputMessage="1" showErrorMessage="1" prompt="Choose the educts of your reaction via dropdown. Please note that it is possible to select multiple educts by successive selection." sqref="G3"/>
    <dataValidation allowBlank="1" showInputMessage="1" showErrorMessage="1" prompt="Choose the products of your reaction via dropdown. Please note that it is possible to select multiple products by successive selection." sqref="H3"/>
    <dataValidation allowBlank="1" showInputMessage="1" showErrorMessage="1" prompt="Choose the proteins of your reaction via dropdown. Please note that it is possible to select multiple proteins by successive selection." sqref="I3"/>
    <dataValidation allowBlank="1" showInputMessage="1" showErrorMessage="1" prompt="Choose the modifiers of your reaction via dropdown. Please note that it is possible to select multiple modifiers by successive selection." sqref="J3"/>
    <dataValidation allowBlank="1" showInputMessage="1" showErrorMessage="1" prompt="Choose whether a reaction is reversible or irreversible via dropdown" sqref="F3"/>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Reactants!$B$4:$B$23</xm:f>
          </x14:formula1>
          <xm:sqref>J4:J23 G4:H23</xm:sqref>
        </x14:dataValidation>
        <x14:dataValidation type="list" allowBlank="1" showInputMessage="1" showErrorMessage="1">
          <x14:formula1>
            <xm:f>Documentation!$I$28:$I$29</xm:f>
          </x14:formula1>
          <xm:sqref>D6:D23</xm:sqref>
        </x14:dataValidation>
        <x14:dataValidation type="list" allowBlank="1" showInputMessage="1" showErrorMessage="1">
          <x14:formula1>
            <xm:f>Proteins!$B$4:$B$23</xm:f>
          </x14:formula1>
          <xm:sqref>I4:I23</xm:sqref>
        </x14:dataValidation>
        <x14:dataValidation type="list" allowBlank="1" showInputMessage="1" showErrorMessage="1">
          <x14:formula1>
            <xm:f>Documentation!$J$9:$J$10</xm:f>
          </x14:formula1>
          <xm:sqref>F6:F23</xm:sqref>
        </x14:dataValidation>
        <x14:dataValidation type="list" allowBlank="1" showInputMessage="1" showErrorMessage="1">
          <x14:formula1>
            <xm:f>Documentation!#REF!</xm:f>
          </x14:formula1>
          <xm:sqref>F4:F5 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5" tint="0.39997558519241921"/>
  </sheetPr>
  <dimension ref="A1:AS461"/>
  <sheetViews>
    <sheetView showGridLines="0" zoomScale="85" zoomScaleNormal="85" workbookViewId="0">
      <pane xSplit="9" topLeftCell="S1" activePane="topRight" state="frozen"/>
      <selection pane="topRight" activeCell="G11" sqref="G11"/>
    </sheetView>
  </sheetViews>
  <sheetFormatPr defaultColWidth="25.7109375" defaultRowHeight="15" x14ac:dyDescent="0.25"/>
  <cols>
    <col min="1" max="1" width="25.7109375" style="2"/>
    <col min="2" max="2" width="19.28515625" style="2" customWidth="1"/>
    <col min="3" max="3" width="25" style="2" customWidth="1"/>
    <col min="4" max="9" width="12.7109375" style="2" customWidth="1"/>
    <col min="10" max="48" width="15.7109375" style="2" customWidth="1"/>
    <col min="49" max="16384" width="25.7109375" style="2"/>
  </cols>
  <sheetData>
    <row r="1" spans="1:45" ht="60" customHeight="1" x14ac:dyDescent="0.25">
      <c r="A1"/>
    </row>
    <row r="2" spans="1:45" ht="33.75" customHeight="1" x14ac:dyDescent="0.25">
      <c r="A2" s="80" t="s">
        <v>129</v>
      </c>
      <c r="B2" s="80"/>
      <c r="C2" s="7"/>
      <c r="D2" s="7"/>
      <c r="E2" s="1"/>
      <c r="F2" s="1"/>
      <c r="G2" s="1"/>
    </row>
    <row r="3" spans="1:45" ht="21.75" customHeight="1" x14ac:dyDescent="0.25">
      <c r="A3" s="81" t="s">
        <v>156</v>
      </c>
      <c r="B3" s="81" t="s">
        <v>45</v>
      </c>
      <c r="C3" s="81" t="s">
        <v>60</v>
      </c>
      <c r="D3" s="81" t="s">
        <v>65</v>
      </c>
      <c r="E3" s="81"/>
      <c r="F3" s="81"/>
      <c r="G3" s="81" t="s">
        <v>46</v>
      </c>
      <c r="H3" s="81"/>
      <c r="I3" s="81"/>
      <c r="J3" s="83" t="s">
        <v>53</v>
      </c>
      <c r="K3" s="83"/>
      <c r="L3" s="83"/>
      <c r="M3" s="83"/>
      <c r="N3" s="9"/>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row>
    <row r="4" spans="1:45" ht="29.25" customHeight="1" x14ac:dyDescent="0.25">
      <c r="A4" s="81"/>
      <c r="B4" s="81"/>
      <c r="C4" s="81"/>
      <c r="D4" s="13" t="s">
        <v>5</v>
      </c>
      <c r="E4" s="15" t="s">
        <v>66</v>
      </c>
      <c r="F4" s="13" t="s">
        <v>7</v>
      </c>
      <c r="G4" s="13" t="s">
        <v>5</v>
      </c>
      <c r="H4" s="15" t="s">
        <v>66</v>
      </c>
      <c r="I4" s="13" t="s">
        <v>7</v>
      </c>
      <c r="J4" s="83"/>
      <c r="K4" s="83"/>
      <c r="L4" s="83"/>
      <c r="M4" s="83"/>
      <c r="N4" s="14"/>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row>
    <row r="5" spans="1:45" ht="25.15" customHeight="1" x14ac:dyDescent="0.25">
      <c r="A5" s="24">
        <v>1</v>
      </c>
      <c r="B5" s="24" t="s">
        <v>67</v>
      </c>
      <c r="C5" s="24" t="s">
        <v>201</v>
      </c>
      <c r="D5" s="25" t="s">
        <v>203</v>
      </c>
      <c r="E5" s="24"/>
      <c r="F5" s="24"/>
      <c r="G5" s="24"/>
      <c r="H5" s="24"/>
      <c r="I5" s="24" t="s">
        <v>49</v>
      </c>
      <c r="J5" s="21">
        <v>1.46</v>
      </c>
      <c r="K5" s="18">
        <v>2.92</v>
      </c>
      <c r="L5" s="18">
        <v>4.3599999999999994</v>
      </c>
      <c r="M5" s="18">
        <v>18.98</v>
      </c>
      <c r="N5" s="18">
        <v>20.439999999999998</v>
      </c>
      <c r="O5" s="18">
        <v>21.9</v>
      </c>
      <c r="P5" s="18">
        <v>23.36</v>
      </c>
      <c r="Q5" s="19">
        <v>37.96</v>
      </c>
      <c r="R5" s="19">
        <v>39.42</v>
      </c>
      <c r="S5" s="19">
        <v>40.879999999999995</v>
      </c>
      <c r="T5" s="19">
        <v>42.339999999999996</v>
      </c>
      <c r="U5" s="19">
        <v>56.94</v>
      </c>
      <c r="V5" s="19">
        <v>58.4</v>
      </c>
      <c r="W5" s="19">
        <v>59.86</v>
      </c>
      <c r="X5" s="19">
        <v>61.32</v>
      </c>
      <c r="AC5" s="19"/>
      <c r="AD5" s="19"/>
      <c r="AE5" s="19"/>
      <c r="AF5" s="19"/>
      <c r="AG5" s="19"/>
      <c r="AH5" s="19"/>
      <c r="AI5" s="19"/>
      <c r="AJ5" s="19"/>
      <c r="AK5" s="19"/>
      <c r="AL5" s="19"/>
      <c r="AM5" s="19"/>
      <c r="AN5" s="19"/>
      <c r="AO5" s="19"/>
      <c r="AP5" s="19"/>
      <c r="AQ5" s="19"/>
      <c r="AR5" s="18"/>
      <c r="AS5" s="18"/>
    </row>
    <row r="6" spans="1:45" ht="25.15" customHeight="1" x14ac:dyDescent="0.25">
      <c r="A6" s="24">
        <v>1</v>
      </c>
      <c r="B6" s="24" t="s">
        <v>52</v>
      </c>
      <c r="C6" s="24" t="s">
        <v>201</v>
      </c>
      <c r="D6" s="25" t="s">
        <v>203</v>
      </c>
      <c r="E6" s="24">
        <v>11.6</v>
      </c>
      <c r="F6" s="24" t="s">
        <v>14</v>
      </c>
      <c r="G6" s="24" t="s">
        <v>198</v>
      </c>
      <c r="H6" s="24">
        <v>0.97</v>
      </c>
      <c r="I6" s="24" t="s">
        <v>13</v>
      </c>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15" customHeight="1" x14ac:dyDescent="0.25">
      <c r="A7" s="24">
        <v>1</v>
      </c>
      <c r="B7" s="24" t="s">
        <v>52</v>
      </c>
      <c r="C7" s="24" t="s">
        <v>201</v>
      </c>
      <c r="D7" s="25" t="s">
        <v>203</v>
      </c>
      <c r="E7" s="24">
        <v>11.6</v>
      </c>
      <c r="F7" s="24" t="s">
        <v>14</v>
      </c>
      <c r="G7" s="24" t="s">
        <v>192</v>
      </c>
      <c r="H7" s="57">
        <f>0.07*1/22.4*1000</f>
        <v>3.1250000000000004</v>
      </c>
      <c r="I7" s="24" t="s">
        <v>13</v>
      </c>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15" customHeight="1" x14ac:dyDescent="0.25">
      <c r="A8" s="24">
        <v>1</v>
      </c>
      <c r="B8" s="24" t="s">
        <v>52</v>
      </c>
      <c r="C8" s="24" t="s">
        <v>201</v>
      </c>
      <c r="D8" s="25" t="s">
        <v>203</v>
      </c>
      <c r="E8" s="24">
        <v>11.6</v>
      </c>
      <c r="F8" s="24" t="s">
        <v>14</v>
      </c>
      <c r="G8" s="24" t="s">
        <v>199</v>
      </c>
      <c r="H8" s="24">
        <v>0</v>
      </c>
      <c r="I8" s="24" t="s">
        <v>13</v>
      </c>
      <c r="J8" s="21">
        <v>2.1884108662702573E-2</v>
      </c>
      <c r="K8" s="18">
        <v>3.2225719948700021E-2</v>
      </c>
      <c r="L8" s="18">
        <v>4.1380695140751107E-2</v>
      </c>
      <c r="M8" s="18">
        <v>0.16282953117510654</v>
      </c>
      <c r="N8" s="18">
        <v>0.17014884769344368</v>
      </c>
      <c r="O8" s="18">
        <v>0.17876361846281397</v>
      </c>
      <c r="P8" s="18">
        <v>0.18770225279494251</v>
      </c>
      <c r="Q8" s="19">
        <v>0.28453745805966868</v>
      </c>
      <c r="R8" s="19">
        <v>0.29392950137965879</v>
      </c>
      <c r="S8" s="19">
        <v>0.30170222688585752</v>
      </c>
      <c r="T8" s="19">
        <v>0.30863290712888469</v>
      </c>
      <c r="U8" s="19">
        <v>0.39251356988327951</v>
      </c>
      <c r="V8" s="19">
        <v>0.40080447708989153</v>
      </c>
      <c r="W8" s="19">
        <v>0.40695788478229894</v>
      </c>
      <c r="X8" s="19">
        <v>0.41563742826422084</v>
      </c>
      <c r="Y8" s="19"/>
      <c r="Z8" s="19"/>
      <c r="AA8" s="19"/>
      <c r="AB8" s="19"/>
      <c r="AC8" s="19"/>
      <c r="AD8" s="19"/>
      <c r="AE8" s="19"/>
      <c r="AF8" s="19"/>
      <c r="AG8" s="19"/>
      <c r="AH8" s="19"/>
      <c r="AI8" s="19"/>
      <c r="AJ8" s="19"/>
      <c r="AK8" s="19"/>
      <c r="AL8" s="19"/>
      <c r="AM8" s="19"/>
      <c r="AN8" s="19"/>
      <c r="AO8" s="19"/>
      <c r="AP8" s="19"/>
      <c r="AQ8" s="19"/>
      <c r="AR8" s="18"/>
      <c r="AS8" s="18"/>
    </row>
    <row r="9" spans="1:45" ht="25.15" customHeight="1" x14ac:dyDescent="0.25">
      <c r="A9" s="24">
        <v>2</v>
      </c>
      <c r="B9" s="24" t="s">
        <v>67</v>
      </c>
      <c r="C9" s="24" t="s">
        <v>201</v>
      </c>
      <c r="D9" s="25" t="s">
        <v>203</v>
      </c>
      <c r="E9" s="24"/>
      <c r="F9" s="24"/>
      <c r="G9" s="24"/>
      <c r="H9" s="24"/>
      <c r="I9" s="24" t="s">
        <v>49</v>
      </c>
      <c r="J9" s="21">
        <v>1.46</v>
      </c>
      <c r="K9" s="18">
        <v>2.92</v>
      </c>
      <c r="L9" s="18">
        <v>4.3599999999999994</v>
      </c>
      <c r="M9" s="18">
        <v>18.98</v>
      </c>
      <c r="N9" s="18">
        <v>20.439999999999998</v>
      </c>
      <c r="O9" s="18">
        <v>21.9</v>
      </c>
      <c r="P9" s="18">
        <v>23.36</v>
      </c>
      <c r="Q9" s="19">
        <v>37.96</v>
      </c>
      <c r="R9" s="19">
        <v>39.42</v>
      </c>
      <c r="S9" s="19">
        <v>40.879999999999995</v>
      </c>
      <c r="T9" s="19">
        <v>42.339999999999996</v>
      </c>
      <c r="U9" s="19">
        <v>56.94</v>
      </c>
      <c r="V9" s="19">
        <v>58.4</v>
      </c>
      <c r="W9" s="19">
        <v>59.86</v>
      </c>
      <c r="X9" s="19">
        <v>61.32</v>
      </c>
      <c r="Y9" s="19"/>
      <c r="Z9" s="19"/>
      <c r="AA9" s="19"/>
      <c r="AB9" s="19"/>
      <c r="AC9" s="19"/>
      <c r="AD9" s="19"/>
      <c r="AE9" s="19"/>
      <c r="AF9" s="19"/>
      <c r="AG9" s="19"/>
      <c r="AH9" s="19"/>
      <c r="AI9" s="19"/>
      <c r="AJ9" s="19"/>
      <c r="AK9" s="19"/>
      <c r="AL9" s="19"/>
      <c r="AM9" s="19"/>
      <c r="AN9" s="19"/>
      <c r="AO9" s="19"/>
      <c r="AP9" s="19"/>
      <c r="AQ9" s="19"/>
      <c r="AR9" s="18"/>
      <c r="AS9" s="18"/>
    </row>
    <row r="10" spans="1:45" ht="25.15" customHeight="1" x14ac:dyDescent="0.25">
      <c r="A10" s="24">
        <v>2</v>
      </c>
      <c r="B10" s="24" t="s">
        <v>52</v>
      </c>
      <c r="C10" s="24" t="s">
        <v>201</v>
      </c>
      <c r="D10" s="25" t="s">
        <v>203</v>
      </c>
      <c r="E10" s="24">
        <v>11.6</v>
      </c>
      <c r="F10" s="24" t="s">
        <v>14</v>
      </c>
      <c r="G10" s="24" t="s">
        <v>198</v>
      </c>
      <c r="H10" s="24">
        <v>0.97</v>
      </c>
      <c r="I10" s="24" t="s">
        <v>13</v>
      </c>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15" customHeight="1" x14ac:dyDescent="0.25">
      <c r="A11" s="24">
        <v>2</v>
      </c>
      <c r="B11" s="24" t="s">
        <v>52</v>
      </c>
      <c r="C11" s="24" t="s">
        <v>201</v>
      </c>
      <c r="D11" s="25" t="s">
        <v>203</v>
      </c>
      <c r="E11" s="24">
        <v>11.6</v>
      </c>
      <c r="F11" s="24" t="s">
        <v>14</v>
      </c>
      <c r="G11" s="24" t="s">
        <v>192</v>
      </c>
      <c r="H11" s="57">
        <f>0.05*1/22.4*1000</f>
        <v>2.2321428571428577</v>
      </c>
      <c r="I11" s="24" t="s">
        <v>13</v>
      </c>
      <c r="J11" s="36"/>
      <c r="L11" s="37"/>
      <c r="M11" s="37"/>
      <c r="N11" s="37"/>
      <c r="O11" s="37"/>
      <c r="P11" s="37"/>
      <c r="Q11" s="37"/>
      <c r="R11" s="37"/>
      <c r="S11" s="37"/>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15" customHeight="1" x14ac:dyDescent="0.25">
      <c r="A12" s="24">
        <v>2</v>
      </c>
      <c r="B12" s="24" t="s">
        <v>52</v>
      </c>
      <c r="C12" s="24" t="s">
        <v>201</v>
      </c>
      <c r="D12" s="25" t="s">
        <v>203</v>
      </c>
      <c r="E12" s="24">
        <v>11.6</v>
      </c>
      <c r="F12" s="24" t="s">
        <v>14</v>
      </c>
      <c r="G12" s="24" t="s">
        <v>199</v>
      </c>
      <c r="H12" s="24">
        <v>0</v>
      </c>
      <c r="I12" s="24" t="s">
        <v>13</v>
      </c>
      <c r="J12" s="18">
        <v>1.7877268664257109E-2</v>
      </c>
      <c r="K12" s="18">
        <v>2.9860220486313517E-2</v>
      </c>
      <c r="L12" s="18">
        <v>3.9252263806303672E-2</v>
      </c>
      <c r="M12" s="18">
        <v>0.14198178591323043</v>
      </c>
      <c r="N12" s="18">
        <v>0.15053178397004913</v>
      </c>
      <c r="O12" s="18">
        <v>0.16005402044226805</v>
      </c>
      <c r="P12" s="18">
        <v>0.16769655279623799</v>
      </c>
      <c r="Q12" s="23">
        <v>0.25203710180974953</v>
      </c>
      <c r="R12" s="19">
        <v>0.26051584988276133</v>
      </c>
      <c r="S12" s="19">
        <v>0.26666925757516868</v>
      </c>
      <c r="T12" s="19">
        <v>0.27385902866840256</v>
      </c>
      <c r="U12" s="19">
        <v>0.36726128016789078</v>
      </c>
      <c r="V12" s="19">
        <v>0.3741271876983665</v>
      </c>
      <c r="W12" s="19">
        <v>0.38209423134222015</v>
      </c>
      <c r="X12" s="19">
        <v>0.38934877514800564</v>
      </c>
      <c r="Y12" s="19"/>
      <c r="Z12" s="19"/>
      <c r="AA12" s="19"/>
      <c r="AB12" s="19"/>
      <c r="AC12" s="19"/>
      <c r="AD12" s="19"/>
      <c r="AE12" s="19"/>
      <c r="AF12" s="19"/>
      <c r="AG12" s="19"/>
      <c r="AH12" s="19"/>
      <c r="AI12" s="19"/>
      <c r="AJ12" s="19"/>
      <c r="AK12" s="19"/>
      <c r="AL12" s="19"/>
      <c r="AM12" s="19"/>
      <c r="AN12" s="19"/>
      <c r="AO12" s="19"/>
      <c r="AP12" s="19"/>
      <c r="AQ12" s="19"/>
      <c r="AR12" s="18"/>
      <c r="AS12" s="18"/>
    </row>
    <row r="13" spans="1:45" ht="25.15" customHeight="1" x14ac:dyDescent="0.25">
      <c r="A13" s="24">
        <v>3</v>
      </c>
      <c r="B13" s="24" t="s">
        <v>67</v>
      </c>
      <c r="C13" s="24" t="s">
        <v>201</v>
      </c>
      <c r="D13" s="25" t="s">
        <v>203</v>
      </c>
      <c r="E13" s="24"/>
      <c r="F13" s="24"/>
      <c r="G13" s="24"/>
      <c r="H13" s="24"/>
      <c r="I13" s="24" t="s">
        <v>49</v>
      </c>
      <c r="J13" s="21">
        <v>1.46</v>
      </c>
      <c r="K13" s="18">
        <v>2.92</v>
      </c>
      <c r="L13" s="18">
        <v>4.3599999999999994</v>
      </c>
      <c r="M13" s="18">
        <v>18.98</v>
      </c>
      <c r="N13" s="18">
        <v>20.439999999999998</v>
      </c>
      <c r="O13" s="18">
        <v>21.9</v>
      </c>
      <c r="P13" s="18">
        <v>23.36</v>
      </c>
      <c r="Q13" s="19">
        <v>37.96</v>
      </c>
      <c r="R13" s="19">
        <v>39.42</v>
      </c>
      <c r="S13" s="19">
        <v>40.879999999999995</v>
      </c>
      <c r="T13" s="19">
        <v>42.339999999999996</v>
      </c>
      <c r="U13" s="19">
        <v>56.94</v>
      </c>
      <c r="V13" s="19">
        <v>58.4</v>
      </c>
      <c r="W13" s="19">
        <v>59.86</v>
      </c>
      <c r="X13" s="19">
        <v>61.32</v>
      </c>
      <c r="Y13" s="19"/>
      <c r="Z13" s="19"/>
      <c r="AA13" s="19"/>
      <c r="AB13" s="19"/>
      <c r="AC13" s="19"/>
      <c r="AD13" s="19"/>
      <c r="AE13" s="19"/>
      <c r="AF13" s="19"/>
      <c r="AG13" s="19"/>
      <c r="AH13" s="19"/>
      <c r="AI13" s="19"/>
      <c r="AJ13" s="19"/>
      <c r="AK13" s="19"/>
      <c r="AL13" s="19"/>
      <c r="AM13" s="19"/>
      <c r="AN13" s="19"/>
      <c r="AO13" s="19"/>
      <c r="AP13" s="19"/>
      <c r="AQ13" s="19"/>
      <c r="AR13" s="18"/>
      <c r="AS13" s="18"/>
    </row>
    <row r="14" spans="1:45" ht="25.15" customHeight="1" x14ac:dyDescent="0.25">
      <c r="A14" s="24">
        <v>3</v>
      </c>
      <c r="B14" s="24" t="s">
        <v>52</v>
      </c>
      <c r="C14" s="24" t="s">
        <v>201</v>
      </c>
      <c r="D14" s="25" t="s">
        <v>203</v>
      </c>
      <c r="E14" s="24">
        <v>11.6</v>
      </c>
      <c r="F14" s="24" t="s">
        <v>14</v>
      </c>
      <c r="G14" s="24" t="s">
        <v>198</v>
      </c>
      <c r="H14" s="24">
        <v>0.97</v>
      </c>
      <c r="I14" s="24" t="s">
        <v>13</v>
      </c>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15" customHeight="1" x14ac:dyDescent="0.25">
      <c r="A15" s="24">
        <v>3</v>
      </c>
      <c r="B15" s="24" t="s">
        <v>52</v>
      </c>
      <c r="C15" s="24" t="s">
        <v>201</v>
      </c>
      <c r="D15" s="25" t="s">
        <v>203</v>
      </c>
      <c r="E15" s="24">
        <v>11.6</v>
      </c>
      <c r="F15" s="24" t="s">
        <v>14</v>
      </c>
      <c r="G15" s="24" t="s">
        <v>192</v>
      </c>
      <c r="H15" s="57">
        <f>0.03*1/22.4*1000</f>
        <v>1.3392857142857142</v>
      </c>
      <c r="I15" s="24" t="s">
        <v>13</v>
      </c>
      <c r="J15" s="38"/>
      <c r="K15" s="39"/>
      <c r="L15" s="39"/>
      <c r="M15" s="39"/>
      <c r="N15" s="39"/>
      <c r="O15" s="39"/>
      <c r="P15" s="39"/>
      <c r="Q15" s="39"/>
      <c r="R15" s="39"/>
      <c r="S15" s="3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15" customHeight="1" x14ac:dyDescent="0.25">
      <c r="A16" s="24">
        <v>3</v>
      </c>
      <c r="B16" s="24" t="s">
        <v>52</v>
      </c>
      <c r="C16" s="24" t="s">
        <v>201</v>
      </c>
      <c r="D16" s="25" t="s">
        <v>203</v>
      </c>
      <c r="E16" s="24">
        <v>11.6</v>
      </c>
      <c r="F16" s="24" t="s">
        <v>14</v>
      </c>
      <c r="G16" s="24" t="s">
        <v>199</v>
      </c>
      <c r="H16" s="24">
        <v>0</v>
      </c>
      <c r="I16" s="24" t="s">
        <v>13</v>
      </c>
      <c r="J16" s="22">
        <v>1.6646587125775637E-2</v>
      </c>
      <c r="K16" s="20">
        <v>2.8629538947832048E-2</v>
      </c>
      <c r="L16" s="20">
        <v>3.4070446802171181E-2</v>
      </c>
      <c r="M16" s="20">
        <v>0.10784656639850763</v>
      </c>
      <c r="N16" s="20">
        <v>0.11581361004236133</v>
      </c>
      <c r="O16" s="20">
        <v>0.12293860842304351</v>
      </c>
      <c r="P16" s="20">
        <v>0.12954542510331246</v>
      </c>
      <c r="Q16" s="19">
        <v>0.19865790939592967</v>
      </c>
      <c r="R16" s="19">
        <v>0.20811472542847145</v>
      </c>
      <c r="S16" s="19">
        <v>0.21666472348529009</v>
      </c>
      <c r="T16" s="19">
        <v>0.22301244931535236</v>
      </c>
      <c r="U16" s="19">
        <v>0.30399129454743301</v>
      </c>
      <c r="V16" s="19">
        <v>0.31006697498477842</v>
      </c>
      <c r="W16" s="19">
        <v>0.31660901895249566</v>
      </c>
      <c r="X16" s="19">
        <v>0.3232806083453163</v>
      </c>
      <c r="Y16" s="19"/>
      <c r="Z16" s="19"/>
      <c r="AA16" s="19"/>
      <c r="AB16" s="19"/>
      <c r="AC16" s="19"/>
      <c r="AD16" s="19"/>
      <c r="AE16" s="19"/>
      <c r="AF16" s="19"/>
      <c r="AG16" s="19"/>
      <c r="AH16" s="19"/>
      <c r="AI16" s="19"/>
      <c r="AJ16" s="19"/>
      <c r="AK16" s="19"/>
      <c r="AL16" s="19"/>
      <c r="AM16" s="19"/>
      <c r="AN16" s="19"/>
      <c r="AO16" s="19"/>
      <c r="AP16" s="19"/>
      <c r="AQ16" s="19"/>
      <c r="AR16" s="18"/>
      <c r="AS16" s="18"/>
    </row>
    <row r="17" spans="1:45" ht="25.15" customHeight="1" x14ac:dyDescent="0.25">
      <c r="A17" s="24">
        <v>4</v>
      </c>
      <c r="B17" s="24" t="s">
        <v>67</v>
      </c>
      <c r="C17" s="24" t="s">
        <v>201</v>
      </c>
      <c r="D17" s="25" t="s">
        <v>203</v>
      </c>
      <c r="E17" s="24"/>
      <c r="F17" s="24"/>
      <c r="G17" s="24"/>
      <c r="H17" s="24"/>
      <c r="I17" s="24" t="s">
        <v>49</v>
      </c>
      <c r="J17" s="21">
        <v>1.46</v>
      </c>
      <c r="K17" s="18">
        <v>2.92</v>
      </c>
      <c r="L17" s="18">
        <v>4.3599999999999994</v>
      </c>
      <c r="M17" s="18">
        <v>18.98</v>
      </c>
      <c r="N17" s="18">
        <v>20.439999999999998</v>
      </c>
      <c r="O17" s="18">
        <v>21.9</v>
      </c>
      <c r="P17" s="18">
        <v>23.36</v>
      </c>
      <c r="Q17" s="19">
        <v>37.96</v>
      </c>
      <c r="R17" s="19">
        <v>39.42</v>
      </c>
      <c r="S17" s="19">
        <v>40.879999999999995</v>
      </c>
      <c r="T17" s="19">
        <v>42.339999999999996</v>
      </c>
      <c r="U17" s="19">
        <v>56.94</v>
      </c>
      <c r="V17" s="19">
        <v>58.4</v>
      </c>
      <c r="W17" s="19">
        <v>59.86</v>
      </c>
      <c r="X17" s="19">
        <v>61.32</v>
      </c>
      <c r="Y17" s="19"/>
      <c r="Z17" s="19"/>
      <c r="AA17" s="19"/>
      <c r="AB17" s="19"/>
      <c r="AC17" s="19"/>
      <c r="AD17" s="19"/>
      <c r="AE17" s="19"/>
      <c r="AF17" s="19"/>
      <c r="AG17" s="19"/>
      <c r="AH17" s="19"/>
      <c r="AI17" s="19"/>
      <c r="AJ17" s="19"/>
      <c r="AK17" s="19"/>
      <c r="AL17" s="19"/>
      <c r="AM17" s="19"/>
      <c r="AN17" s="19"/>
      <c r="AO17" s="19"/>
      <c r="AP17" s="19"/>
      <c r="AQ17" s="19"/>
      <c r="AR17" s="18"/>
      <c r="AS17" s="18"/>
    </row>
    <row r="18" spans="1:45" ht="25.15" customHeight="1" x14ac:dyDescent="0.25">
      <c r="A18" s="24">
        <v>4</v>
      </c>
      <c r="B18" s="24" t="s">
        <v>52</v>
      </c>
      <c r="C18" s="24" t="s">
        <v>201</v>
      </c>
      <c r="D18" s="25" t="s">
        <v>203</v>
      </c>
      <c r="E18" s="24">
        <v>4.7</v>
      </c>
      <c r="F18" s="24" t="s">
        <v>14</v>
      </c>
      <c r="G18" s="24" t="s">
        <v>198</v>
      </c>
      <c r="H18" s="24">
        <v>0.97</v>
      </c>
      <c r="I18" s="24" t="s">
        <v>13</v>
      </c>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15" customHeight="1" x14ac:dyDescent="0.25">
      <c r="A19" s="24">
        <v>4</v>
      </c>
      <c r="B19" s="24" t="s">
        <v>52</v>
      </c>
      <c r="C19" s="24" t="s">
        <v>201</v>
      </c>
      <c r="D19" s="25" t="s">
        <v>203</v>
      </c>
      <c r="E19" s="24">
        <v>4.7</v>
      </c>
      <c r="F19" s="24" t="s">
        <v>14</v>
      </c>
      <c r="G19" s="24" t="s">
        <v>192</v>
      </c>
      <c r="H19" s="57">
        <f>0.07*1/22.4*1000</f>
        <v>3.1250000000000004</v>
      </c>
      <c r="I19" s="24" t="s">
        <v>13</v>
      </c>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25">
      <c r="A20" s="24">
        <v>4</v>
      </c>
      <c r="B20" s="24" t="s">
        <v>52</v>
      </c>
      <c r="C20" s="24" t="s">
        <v>201</v>
      </c>
      <c r="D20" s="25" t="s">
        <v>203</v>
      </c>
      <c r="E20" s="24">
        <v>4.7</v>
      </c>
      <c r="F20" s="24" t="s">
        <v>14</v>
      </c>
      <c r="G20" s="24" t="s">
        <v>199</v>
      </c>
      <c r="H20" s="24">
        <v>0</v>
      </c>
      <c r="I20" s="24" t="s">
        <v>13</v>
      </c>
      <c r="J20" s="21">
        <v>1.3731815060951126E-2</v>
      </c>
      <c r="K20" s="18">
        <v>1.9438291036752046E-2</v>
      </c>
      <c r="L20" s="18">
        <v>2.4224994494319436E-2</v>
      </c>
      <c r="M20" s="18">
        <v>5.9849986397730356E-2</v>
      </c>
      <c r="N20" s="18">
        <v>6.6910212065860911E-2</v>
      </c>
      <c r="O20" s="18">
        <v>7.1638620082131788E-2</v>
      </c>
      <c r="P20" s="18">
        <v>7.6690891661160984E-2</v>
      </c>
      <c r="Q20" s="19">
        <v>0.10920679336209242</v>
      </c>
      <c r="R20" s="19">
        <v>0.11276929255243351</v>
      </c>
      <c r="S20" s="19">
        <v>0.1193113365201508</v>
      </c>
      <c r="T20" s="19">
        <v>0.12222610858497532</v>
      </c>
      <c r="U20" s="19">
        <v>0.16963973417278769</v>
      </c>
      <c r="V20" s="19">
        <v>0.1734613242133354</v>
      </c>
      <c r="W20" s="19">
        <v>0.17695905069112486</v>
      </c>
      <c r="X20" s="19">
        <v>0.18285336753332557</v>
      </c>
      <c r="Y20" s="19"/>
      <c r="Z20" s="19"/>
      <c r="AA20" s="19"/>
      <c r="AB20" s="19"/>
      <c r="AC20" s="19"/>
      <c r="AD20" s="19"/>
      <c r="AE20" s="19"/>
      <c r="AF20" s="19"/>
      <c r="AG20" s="19"/>
      <c r="AH20" s="19"/>
      <c r="AI20" s="19"/>
      <c r="AJ20" s="19"/>
      <c r="AK20" s="19"/>
      <c r="AL20" s="19"/>
      <c r="AM20" s="19"/>
      <c r="AN20" s="19"/>
      <c r="AO20" s="19"/>
      <c r="AP20" s="19"/>
      <c r="AQ20" s="19"/>
      <c r="AR20" s="18"/>
      <c r="AS20" s="18"/>
    </row>
    <row r="21" spans="1:45" ht="25.15" customHeight="1" x14ac:dyDescent="0.25">
      <c r="A21" s="24">
        <v>5</v>
      </c>
      <c r="B21" s="24" t="s">
        <v>67</v>
      </c>
      <c r="C21" s="24" t="s">
        <v>201</v>
      </c>
      <c r="D21" s="25" t="s">
        <v>203</v>
      </c>
      <c r="E21" s="24"/>
      <c r="F21" s="24"/>
      <c r="G21" s="24"/>
      <c r="H21" s="24"/>
      <c r="I21" s="24" t="s">
        <v>49</v>
      </c>
      <c r="J21" s="21">
        <v>1.46</v>
      </c>
      <c r="K21" s="18">
        <v>2.92</v>
      </c>
      <c r="L21" s="18">
        <v>4.3599999999999994</v>
      </c>
      <c r="M21" s="18">
        <v>18.98</v>
      </c>
      <c r="N21" s="18">
        <v>20.439999999999998</v>
      </c>
      <c r="O21" s="18">
        <v>21.9</v>
      </c>
      <c r="P21" s="18">
        <v>23.36</v>
      </c>
      <c r="Q21" s="19">
        <v>37.96</v>
      </c>
      <c r="R21" s="19">
        <v>39.42</v>
      </c>
      <c r="S21" s="19">
        <v>40.879999999999995</v>
      </c>
      <c r="T21" s="19">
        <v>42.339999999999996</v>
      </c>
      <c r="U21" s="19">
        <v>56.94</v>
      </c>
      <c r="V21" s="19">
        <v>58.4</v>
      </c>
      <c r="W21" s="19">
        <v>59.86</v>
      </c>
      <c r="X21" s="19">
        <v>61.32</v>
      </c>
      <c r="Y21" s="19"/>
      <c r="Z21" s="19"/>
      <c r="AA21" s="19"/>
      <c r="AB21" s="19"/>
      <c r="AC21" s="19"/>
      <c r="AD21" s="19"/>
      <c r="AE21" s="19"/>
      <c r="AF21" s="19"/>
      <c r="AG21" s="19"/>
      <c r="AH21" s="19"/>
      <c r="AI21" s="19"/>
      <c r="AJ21" s="19"/>
      <c r="AK21" s="19"/>
      <c r="AL21" s="19"/>
      <c r="AM21" s="19"/>
      <c r="AN21" s="19"/>
      <c r="AO21" s="19"/>
      <c r="AP21" s="19"/>
      <c r="AQ21" s="19"/>
      <c r="AR21" s="18"/>
      <c r="AS21" s="18"/>
    </row>
    <row r="22" spans="1:45" ht="25.15" customHeight="1" x14ac:dyDescent="0.25">
      <c r="A22" s="24">
        <v>5</v>
      </c>
      <c r="B22" s="24" t="s">
        <v>52</v>
      </c>
      <c r="C22" s="24" t="s">
        <v>201</v>
      </c>
      <c r="D22" s="25" t="s">
        <v>203</v>
      </c>
      <c r="E22" s="24">
        <v>4.7</v>
      </c>
      <c r="F22" s="24" t="s">
        <v>14</v>
      </c>
      <c r="G22" s="24" t="s">
        <v>198</v>
      </c>
      <c r="H22" s="24">
        <v>0.97</v>
      </c>
      <c r="I22" s="24" t="s">
        <v>13</v>
      </c>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15" customHeight="1" x14ac:dyDescent="0.25">
      <c r="A23" s="24">
        <v>5</v>
      </c>
      <c r="B23" s="24" t="s">
        <v>52</v>
      </c>
      <c r="C23" s="24" t="s">
        <v>201</v>
      </c>
      <c r="D23" s="25" t="s">
        <v>203</v>
      </c>
      <c r="E23" s="24">
        <v>4.7</v>
      </c>
      <c r="F23" s="24" t="s">
        <v>14</v>
      </c>
      <c r="G23" s="24" t="s">
        <v>192</v>
      </c>
      <c r="H23" s="57">
        <f>0.05*1/22.4*1000</f>
        <v>2.2321428571428577</v>
      </c>
      <c r="I23" s="24" t="s">
        <v>13</v>
      </c>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15" customHeight="1" x14ac:dyDescent="0.25">
      <c r="A24" s="24">
        <v>5</v>
      </c>
      <c r="B24" s="24" t="s">
        <v>52</v>
      </c>
      <c r="C24" s="24" t="s">
        <v>201</v>
      </c>
      <c r="D24" s="25" t="s">
        <v>203</v>
      </c>
      <c r="E24" s="24">
        <v>4.7</v>
      </c>
      <c r="F24" s="24" t="s">
        <v>14</v>
      </c>
      <c r="G24" s="24" t="s">
        <v>199</v>
      </c>
      <c r="H24" s="24">
        <v>0</v>
      </c>
      <c r="I24" s="24" t="s">
        <v>13</v>
      </c>
      <c r="J24" s="21">
        <v>1.3537496923296146E-2</v>
      </c>
      <c r="K24" s="18">
        <v>1.9179200186545418E-2</v>
      </c>
      <c r="L24" s="18">
        <v>2.299431295583796E-2</v>
      </c>
      <c r="M24" s="18">
        <v>5.1364761053463402E-2</v>
      </c>
      <c r="N24" s="18">
        <v>5.5445441944217751E-2</v>
      </c>
      <c r="O24" s="18">
        <v>5.8165895871387305E-2</v>
      </c>
      <c r="P24" s="18">
        <v>6.3865894575933058E-2</v>
      </c>
      <c r="Q24" s="18">
        <v>9.8648841216172442E-2</v>
      </c>
      <c r="R24" s="19">
        <v>0.1016931587061003</v>
      </c>
      <c r="S24" s="19">
        <v>0.1079113391110593</v>
      </c>
      <c r="T24" s="19">
        <v>0.11095565660098715</v>
      </c>
      <c r="U24" s="19">
        <v>0.14891246615625767</v>
      </c>
      <c r="V24" s="19">
        <v>0.15519541927376837</v>
      </c>
      <c r="W24" s="19">
        <v>0.15830450947624788</v>
      </c>
      <c r="X24" s="19">
        <v>0.16348632648038033</v>
      </c>
      <c r="Y24" s="19"/>
      <c r="Z24" s="19"/>
      <c r="AA24" s="19"/>
      <c r="AB24" s="19"/>
      <c r="AC24" s="19"/>
      <c r="AD24" s="19"/>
      <c r="AE24" s="19"/>
      <c r="AF24" s="19"/>
      <c r="AG24" s="19"/>
      <c r="AH24" s="19"/>
      <c r="AI24" s="19"/>
      <c r="AJ24" s="19"/>
      <c r="AK24" s="19"/>
      <c r="AL24" s="19"/>
      <c r="AM24" s="19"/>
      <c r="AN24" s="19"/>
      <c r="AO24" s="19"/>
      <c r="AP24" s="19"/>
      <c r="AQ24" s="19"/>
      <c r="AR24" s="18"/>
      <c r="AS24" s="18"/>
    </row>
    <row r="25" spans="1:45" ht="25.15" customHeight="1" x14ac:dyDescent="0.25">
      <c r="A25" s="24">
        <v>6</v>
      </c>
      <c r="B25" s="24" t="s">
        <v>67</v>
      </c>
      <c r="C25" s="24" t="s">
        <v>201</v>
      </c>
      <c r="D25" s="25" t="s">
        <v>203</v>
      </c>
      <c r="E25" s="24"/>
      <c r="F25" s="24"/>
      <c r="G25" s="24"/>
      <c r="H25" s="24"/>
      <c r="I25" s="24" t="s">
        <v>49</v>
      </c>
      <c r="J25" s="21">
        <v>1.46</v>
      </c>
      <c r="K25" s="18">
        <v>2.92</v>
      </c>
      <c r="L25" s="18">
        <v>4.3599999999999994</v>
      </c>
      <c r="M25" s="18">
        <v>18.98</v>
      </c>
      <c r="N25" s="18">
        <v>20.439999999999998</v>
      </c>
      <c r="O25" s="18">
        <v>21.9</v>
      </c>
      <c r="P25" s="18">
        <v>23.36</v>
      </c>
      <c r="Q25" s="19">
        <v>37.96</v>
      </c>
      <c r="R25" s="19">
        <v>39.42</v>
      </c>
      <c r="S25" s="19">
        <v>40.879999999999995</v>
      </c>
      <c r="T25" s="19">
        <v>42.339999999999996</v>
      </c>
      <c r="U25" s="19">
        <v>56.94</v>
      </c>
      <c r="V25" s="19">
        <v>58.4</v>
      </c>
      <c r="W25" s="19">
        <v>59.86</v>
      </c>
      <c r="X25" s="19">
        <v>61.32</v>
      </c>
      <c r="Y25" s="19"/>
      <c r="Z25" s="19"/>
      <c r="AA25" s="19"/>
      <c r="AB25" s="19"/>
      <c r="AC25" s="19"/>
      <c r="AD25" s="19"/>
      <c r="AE25" s="19"/>
      <c r="AF25" s="19"/>
      <c r="AG25" s="19"/>
      <c r="AH25" s="19"/>
      <c r="AI25" s="19"/>
      <c r="AJ25" s="19"/>
      <c r="AK25" s="19"/>
      <c r="AL25" s="19"/>
      <c r="AM25" s="19"/>
      <c r="AN25" s="19"/>
      <c r="AO25" s="19"/>
      <c r="AP25" s="19"/>
      <c r="AQ25" s="19"/>
      <c r="AR25" s="18"/>
      <c r="AS25" s="18"/>
    </row>
    <row r="26" spans="1:45" ht="25.15" customHeight="1" x14ac:dyDescent="0.25">
      <c r="A26" s="24">
        <v>6</v>
      </c>
      <c r="B26" s="24" t="s">
        <v>52</v>
      </c>
      <c r="C26" s="24" t="s">
        <v>201</v>
      </c>
      <c r="D26" s="25" t="s">
        <v>203</v>
      </c>
      <c r="E26" s="24">
        <v>4.7</v>
      </c>
      <c r="F26" s="24" t="s">
        <v>14</v>
      </c>
      <c r="G26" s="24" t="s">
        <v>198</v>
      </c>
      <c r="H26" s="24">
        <v>0.97</v>
      </c>
      <c r="I26" s="24" t="s">
        <v>13</v>
      </c>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15" customHeight="1" x14ac:dyDescent="0.25">
      <c r="A27" s="24">
        <v>6</v>
      </c>
      <c r="B27" s="24" t="s">
        <v>52</v>
      </c>
      <c r="C27" s="24" t="s">
        <v>201</v>
      </c>
      <c r="D27" s="25" t="s">
        <v>203</v>
      </c>
      <c r="E27" s="24">
        <v>4.7</v>
      </c>
      <c r="F27" s="24" t="s">
        <v>14</v>
      </c>
      <c r="G27" s="24" t="s">
        <v>192</v>
      </c>
      <c r="H27" s="57">
        <f>0.03*1/22.4*1000</f>
        <v>1.3392857142857142</v>
      </c>
      <c r="I27" s="24" t="s">
        <v>13</v>
      </c>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15" customHeight="1" x14ac:dyDescent="0.25">
      <c r="A28" s="24">
        <v>6</v>
      </c>
      <c r="B28" s="24" t="s">
        <v>52</v>
      </c>
      <c r="C28" s="24" t="s">
        <v>201</v>
      </c>
      <c r="D28" s="25" t="s">
        <v>203</v>
      </c>
      <c r="E28" s="24">
        <v>4.7</v>
      </c>
      <c r="F28" s="24" t="s">
        <v>14</v>
      </c>
      <c r="G28" s="24" t="s">
        <v>199</v>
      </c>
      <c r="H28" s="24">
        <v>0</v>
      </c>
      <c r="I28" s="24" t="s">
        <v>13</v>
      </c>
      <c r="J28" s="21">
        <v>1.2054201805863222E-2</v>
      </c>
      <c r="K28" s="18">
        <v>1.6387496275569034E-2</v>
      </c>
      <c r="L28" s="18">
        <v>1.9755677328255158E-2</v>
      </c>
      <c r="M28" s="18">
        <v>4.1739535968287278E-2</v>
      </c>
      <c r="N28" s="18">
        <v>4.6442034899537521E-2</v>
      </c>
      <c r="O28" s="18">
        <v>5.0652261215395178E-2</v>
      </c>
      <c r="P28" s="18">
        <v>5.5704532794424368E-2</v>
      </c>
      <c r="Q28" s="19">
        <v>8.0382936276605393E-2</v>
      </c>
      <c r="R28" s="19">
        <v>8.5564753280737885E-2</v>
      </c>
      <c r="S28" s="19">
        <v>9.0357934009560464E-2</v>
      </c>
      <c r="T28" s="19">
        <v>9.4762478463073063E-2</v>
      </c>
      <c r="U28" s="19">
        <v>0.1265658803259363</v>
      </c>
      <c r="V28" s="19">
        <v>0.13025792494138069</v>
      </c>
      <c r="W28" s="19">
        <v>0.13570531006697495</v>
      </c>
      <c r="X28" s="19">
        <v>0.14172269506302385</v>
      </c>
      <c r="Y28" s="19"/>
      <c r="Z28" s="19"/>
      <c r="AA28" s="19"/>
      <c r="AB28" s="19"/>
      <c r="AC28" s="19"/>
      <c r="AD28" s="19"/>
      <c r="AE28" s="19"/>
      <c r="AF28" s="19"/>
      <c r="AG28" s="19"/>
      <c r="AH28" s="19"/>
      <c r="AI28" s="19"/>
      <c r="AJ28" s="19"/>
      <c r="AK28" s="19"/>
      <c r="AL28" s="19"/>
      <c r="AM28" s="19"/>
      <c r="AN28" s="19"/>
      <c r="AO28" s="19"/>
      <c r="AP28" s="19"/>
      <c r="AQ28" s="19"/>
      <c r="AR28" s="18"/>
      <c r="AS28" s="18"/>
    </row>
    <row r="29" spans="1:45" ht="25.15" customHeight="1" x14ac:dyDescent="0.25">
      <c r="A29" s="24">
        <v>7</v>
      </c>
      <c r="B29" s="24" t="s">
        <v>67</v>
      </c>
      <c r="C29" s="24" t="s">
        <v>202</v>
      </c>
      <c r="D29" s="25" t="s">
        <v>204</v>
      </c>
      <c r="E29" s="24"/>
      <c r="F29" s="24"/>
      <c r="G29" s="24"/>
      <c r="H29" s="24"/>
      <c r="I29" s="24" t="s">
        <v>49</v>
      </c>
      <c r="J29" s="21">
        <v>1</v>
      </c>
      <c r="K29" s="18">
        <v>14.25</v>
      </c>
      <c r="L29" s="18">
        <v>16.649999999999999</v>
      </c>
      <c r="M29" s="18">
        <v>30.55</v>
      </c>
      <c r="N29" s="18">
        <v>32.93</v>
      </c>
      <c r="O29" s="18">
        <v>46.54</v>
      </c>
      <c r="P29" s="19">
        <v>49.3</v>
      </c>
      <c r="Q29" s="19">
        <v>62.54</v>
      </c>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15" customHeight="1" x14ac:dyDescent="0.25">
      <c r="A30" s="24">
        <v>7</v>
      </c>
      <c r="B30" s="24" t="s">
        <v>52</v>
      </c>
      <c r="C30" s="24" t="s">
        <v>202</v>
      </c>
      <c r="D30" s="25" t="s">
        <v>204</v>
      </c>
      <c r="E30" s="24">
        <v>11.6</v>
      </c>
      <c r="F30" s="24" t="s">
        <v>14</v>
      </c>
      <c r="G30" s="24" t="s">
        <v>198</v>
      </c>
      <c r="H30" s="24">
        <v>0.97</v>
      </c>
      <c r="I30" s="24" t="s">
        <v>13</v>
      </c>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15" customHeight="1" x14ac:dyDescent="0.25">
      <c r="A31" s="24">
        <v>7</v>
      </c>
      <c r="B31" s="24" t="s">
        <v>52</v>
      </c>
      <c r="C31" s="24" t="s">
        <v>202</v>
      </c>
      <c r="D31" s="25" t="s">
        <v>204</v>
      </c>
      <c r="E31" s="24">
        <v>11.6</v>
      </c>
      <c r="F31" s="24" t="s">
        <v>14</v>
      </c>
      <c r="G31" s="24" t="s">
        <v>192</v>
      </c>
      <c r="H31" s="57">
        <f>0.07*1/22.4*1000</f>
        <v>3.1250000000000004</v>
      </c>
      <c r="I31" s="24" t="s">
        <v>13</v>
      </c>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15" customHeight="1" x14ac:dyDescent="0.25">
      <c r="A32" s="24">
        <v>7</v>
      </c>
      <c r="B32" s="24" t="s">
        <v>52</v>
      </c>
      <c r="C32" s="24" t="s">
        <v>202</v>
      </c>
      <c r="D32" s="25" t="s">
        <v>204</v>
      </c>
      <c r="E32" s="24">
        <v>11.6</v>
      </c>
      <c r="F32" s="24" t="s">
        <v>14</v>
      </c>
      <c r="G32" s="24" t="s">
        <v>199</v>
      </c>
      <c r="H32" s="24">
        <v>0</v>
      </c>
      <c r="I32" s="24" t="s">
        <v>13</v>
      </c>
      <c r="J32" s="21">
        <v>3.8700400295363494E-3</v>
      </c>
      <c r="K32" s="18">
        <v>9.4340484240799036E-2</v>
      </c>
      <c r="L32" s="18">
        <v>0.11052932260697212</v>
      </c>
      <c r="M32" s="18">
        <v>0.21764525280789709</v>
      </c>
      <c r="N32" s="18">
        <v>0.22415685360071508</v>
      </c>
      <c r="O32" s="18">
        <v>0.31916093428160586</v>
      </c>
      <c r="P32" s="19">
        <v>0.33117756791418912</v>
      </c>
      <c r="Q32" s="19">
        <v>0.40446659671213708</v>
      </c>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15" customHeight="1" x14ac:dyDescent="0.25">
      <c r="A33" s="24">
        <v>8</v>
      </c>
      <c r="B33" s="24" t="s">
        <v>67</v>
      </c>
      <c r="C33" s="24" t="s">
        <v>202</v>
      </c>
      <c r="D33" s="25" t="s">
        <v>204</v>
      </c>
      <c r="E33" s="24"/>
      <c r="F33" s="24"/>
      <c r="G33" s="24"/>
      <c r="H33" s="24"/>
      <c r="I33" s="24" t="s">
        <v>49</v>
      </c>
      <c r="J33" s="21">
        <v>1</v>
      </c>
      <c r="K33" s="18">
        <v>14.25</v>
      </c>
      <c r="L33" s="18">
        <v>16.649999999999999</v>
      </c>
      <c r="M33" s="18">
        <v>30.55</v>
      </c>
      <c r="N33" s="18">
        <v>32.93</v>
      </c>
      <c r="O33" s="18">
        <v>46.54</v>
      </c>
      <c r="P33" s="19">
        <v>49.3</v>
      </c>
      <c r="Q33" s="19">
        <v>62.54</v>
      </c>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15" customHeight="1" x14ac:dyDescent="0.25">
      <c r="A34" s="24">
        <v>8</v>
      </c>
      <c r="B34" s="24" t="s">
        <v>52</v>
      </c>
      <c r="C34" s="24" t="s">
        <v>202</v>
      </c>
      <c r="D34" s="25" t="s">
        <v>204</v>
      </c>
      <c r="E34" s="24">
        <v>11.6</v>
      </c>
      <c r="F34" s="24" t="s">
        <v>14</v>
      </c>
      <c r="G34" s="24" t="s">
        <v>198</v>
      </c>
      <c r="H34" s="24">
        <v>0.97</v>
      </c>
      <c r="I34" s="24" t="s">
        <v>13</v>
      </c>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15" customHeight="1" x14ac:dyDescent="0.25">
      <c r="A35" s="24">
        <v>8</v>
      </c>
      <c r="B35" s="24" t="s">
        <v>52</v>
      </c>
      <c r="C35" s="24" t="s">
        <v>202</v>
      </c>
      <c r="D35" s="25" t="s">
        <v>204</v>
      </c>
      <c r="E35" s="24">
        <v>11.6</v>
      </c>
      <c r="F35" s="24" t="s">
        <v>14</v>
      </c>
      <c r="G35" s="24" t="s">
        <v>192</v>
      </c>
      <c r="H35" s="57">
        <f>0.05*1/22.4*1000</f>
        <v>2.2321428571428577</v>
      </c>
      <c r="I35" s="24" t="s">
        <v>13</v>
      </c>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15" customHeight="1" x14ac:dyDescent="0.25">
      <c r="A36" s="24">
        <v>8</v>
      </c>
      <c r="B36" s="24" t="s">
        <v>52</v>
      </c>
      <c r="C36" s="24" t="s">
        <v>202</v>
      </c>
      <c r="D36" s="25" t="s">
        <v>204</v>
      </c>
      <c r="E36" s="24">
        <v>11.6</v>
      </c>
      <c r="F36" s="24" t="s">
        <v>14</v>
      </c>
      <c r="G36" s="24" t="s">
        <v>199</v>
      </c>
      <c r="H36" s="24">
        <v>0</v>
      </c>
      <c r="I36" s="24" t="s">
        <v>13</v>
      </c>
      <c r="J36" s="21">
        <v>3.6442423535812817E-3</v>
      </c>
      <c r="K36" s="18">
        <v>8.5279040845672546E-2</v>
      </c>
      <c r="L36" s="18">
        <v>0.1002036454082624</v>
      </c>
      <c r="M36" s="18">
        <v>0.1807780498231705</v>
      </c>
      <c r="N36" s="18">
        <v>0.1950254556760328</v>
      </c>
      <c r="O36" s="18">
        <v>0.29552679647118263</v>
      </c>
      <c r="P36" s="18">
        <v>0.3067778166414053</v>
      </c>
      <c r="Q36" s="19">
        <v>0.35339473786483233</v>
      </c>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15" customHeight="1" x14ac:dyDescent="0.25">
      <c r="A37" s="24">
        <v>9</v>
      </c>
      <c r="B37" s="24" t="s">
        <v>67</v>
      </c>
      <c r="C37" s="24" t="s">
        <v>202</v>
      </c>
      <c r="D37" s="25" t="s">
        <v>204</v>
      </c>
      <c r="E37" s="24"/>
      <c r="F37" s="24"/>
      <c r="G37" s="24"/>
      <c r="H37" s="24"/>
      <c r="I37" s="24" t="s">
        <v>49</v>
      </c>
      <c r="J37" s="21">
        <v>1</v>
      </c>
      <c r="K37" s="18">
        <v>14.25</v>
      </c>
      <c r="L37" s="18">
        <v>16.649999999999999</v>
      </c>
      <c r="M37" s="18">
        <v>30.55</v>
      </c>
      <c r="N37" s="18">
        <v>32.93</v>
      </c>
      <c r="O37" s="18">
        <v>46.54</v>
      </c>
      <c r="P37" s="19">
        <v>49.3</v>
      </c>
      <c r="Q37" s="19">
        <v>62.54</v>
      </c>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15" customHeight="1" x14ac:dyDescent="0.25">
      <c r="A38" s="24">
        <v>9</v>
      </c>
      <c r="B38" s="24" t="s">
        <v>52</v>
      </c>
      <c r="C38" s="24" t="s">
        <v>202</v>
      </c>
      <c r="D38" s="25" t="s">
        <v>204</v>
      </c>
      <c r="E38" s="24">
        <v>11.6</v>
      </c>
      <c r="F38" s="24" t="s">
        <v>14</v>
      </c>
      <c r="G38" s="24" t="s">
        <v>198</v>
      </c>
      <c r="H38" s="24">
        <v>0.97</v>
      </c>
      <c r="I38" s="24" t="s">
        <v>13</v>
      </c>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15" customHeight="1" x14ac:dyDescent="0.25">
      <c r="A39" s="24">
        <v>9</v>
      </c>
      <c r="B39" s="24" t="s">
        <v>52</v>
      </c>
      <c r="C39" s="24" t="s">
        <v>202</v>
      </c>
      <c r="D39" s="25" t="s">
        <v>204</v>
      </c>
      <c r="E39" s="24">
        <v>11.6</v>
      </c>
      <c r="F39" s="24" t="s">
        <v>14</v>
      </c>
      <c r="G39" s="24" t="s">
        <v>192</v>
      </c>
      <c r="H39" s="57">
        <f>0.03*1/22.4*1000</f>
        <v>1.3392857142857142</v>
      </c>
      <c r="I39" s="24" t="s">
        <v>13</v>
      </c>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15" customHeight="1" x14ac:dyDescent="0.25">
      <c r="A40" s="24">
        <v>9</v>
      </c>
      <c r="B40" s="24" t="s">
        <v>52</v>
      </c>
      <c r="C40" s="24" t="s">
        <v>202</v>
      </c>
      <c r="D40" s="25" t="s">
        <v>204</v>
      </c>
      <c r="E40" s="24">
        <v>11.6</v>
      </c>
      <c r="F40" s="24" t="s">
        <v>14</v>
      </c>
      <c r="G40" s="24" t="s">
        <v>199</v>
      </c>
      <c r="H40" s="24">
        <v>0</v>
      </c>
      <c r="I40" s="24" t="s">
        <v>13</v>
      </c>
      <c r="J40" s="21">
        <v>4.890598888500252E-3</v>
      </c>
      <c r="K40" s="18">
        <v>6.9304146749057563E-2</v>
      </c>
      <c r="L40" s="18">
        <v>8.0124363608099186E-2</v>
      </c>
      <c r="M40" s="18">
        <v>0.13999436477400798</v>
      </c>
      <c r="N40" s="18">
        <v>0.14935078310209476</v>
      </c>
      <c r="O40" s="18">
        <v>0.231428821266177</v>
      </c>
      <c r="P40" s="19">
        <v>0.24020228518129882</v>
      </c>
      <c r="Q40" s="19">
        <v>0.2777678675527574</v>
      </c>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15" customHeight="1" x14ac:dyDescent="0.25">
      <c r="A41" s="24">
        <v>10</v>
      </c>
      <c r="B41" s="24" t="s">
        <v>67</v>
      </c>
      <c r="C41" s="24" t="s">
        <v>202</v>
      </c>
      <c r="D41" s="25" t="s">
        <v>204</v>
      </c>
      <c r="E41" s="24"/>
      <c r="F41" s="24"/>
      <c r="G41" s="24"/>
      <c r="H41" s="24"/>
      <c r="I41" s="24" t="s">
        <v>49</v>
      </c>
      <c r="J41" s="21">
        <v>1</v>
      </c>
      <c r="K41" s="18">
        <v>14.25</v>
      </c>
      <c r="L41" s="18">
        <v>16.649999999999999</v>
      </c>
      <c r="M41" s="18">
        <v>30.55</v>
      </c>
      <c r="N41" s="18">
        <v>32.93</v>
      </c>
      <c r="O41" s="18">
        <v>46.54</v>
      </c>
      <c r="P41" s="19">
        <v>49.3</v>
      </c>
      <c r="Q41" s="19">
        <v>62.54</v>
      </c>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15" customHeight="1" x14ac:dyDescent="0.25">
      <c r="A42" s="24">
        <v>10</v>
      </c>
      <c r="B42" s="24" t="s">
        <v>52</v>
      </c>
      <c r="C42" s="24" t="s">
        <v>202</v>
      </c>
      <c r="D42" s="25" t="s">
        <v>204</v>
      </c>
      <c r="E42" s="24">
        <v>4.7</v>
      </c>
      <c r="F42" s="24" t="s">
        <v>14</v>
      </c>
      <c r="G42" s="24" t="s">
        <v>198</v>
      </c>
      <c r="H42" s="24">
        <v>0.97</v>
      </c>
      <c r="I42" s="24" t="s">
        <v>13</v>
      </c>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15" customHeight="1" x14ac:dyDescent="0.25">
      <c r="A43" s="24">
        <v>10</v>
      </c>
      <c r="B43" s="24" t="s">
        <v>52</v>
      </c>
      <c r="C43" s="24" t="s">
        <v>202</v>
      </c>
      <c r="D43" s="25" t="s">
        <v>204</v>
      </c>
      <c r="E43" s="24">
        <v>4.7</v>
      </c>
      <c r="F43" s="24" t="s">
        <v>14</v>
      </c>
      <c r="G43" s="24" t="s">
        <v>192</v>
      </c>
      <c r="H43" s="57">
        <f>0.07*1/22.4*1000</f>
        <v>3.1250000000000004</v>
      </c>
      <c r="I43" s="24" t="s">
        <v>13</v>
      </c>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15" customHeight="1" x14ac:dyDescent="0.25">
      <c r="A44" s="24">
        <v>10</v>
      </c>
      <c r="B44" s="24" t="s">
        <v>52</v>
      </c>
      <c r="C44" s="24" t="s">
        <v>202</v>
      </c>
      <c r="D44" s="25" t="s">
        <v>204</v>
      </c>
      <c r="E44" s="24">
        <v>4.7</v>
      </c>
      <c r="F44" s="24" t="s">
        <v>14</v>
      </c>
      <c r="G44" s="24" t="s">
        <v>199</v>
      </c>
      <c r="H44" s="24">
        <v>0</v>
      </c>
      <c r="I44" s="24" t="s">
        <v>13</v>
      </c>
      <c r="J44" s="23">
        <v>3.0577902141385904E-3</v>
      </c>
      <c r="K44" s="19">
        <v>2.899420931949789E-2</v>
      </c>
      <c r="L44" s="19">
        <v>3.3234425401266962E-2</v>
      </c>
      <c r="M44" s="19">
        <v>6.4641288717888934E-2</v>
      </c>
      <c r="N44" s="19">
        <v>6.92336092650888E-2</v>
      </c>
      <c r="O44" s="19">
        <v>0.10154793828455949</v>
      </c>
      <c r="P44" s="19">
        <v>0.10982608526679882</v>
      </c>
      <c r="Q44" s="19">
        <v>0.14533986242275856</v>
      </c>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15" customHeight="1" x14ac:dyDescent="0.25">
      <c r="A45" s="24">
        <v>11</v>
      </c>
      <c r="B45" s="24" t="s">
        <v>67</v>
      </c>
      <c r="C45" s="24" t="s">
        <v>202</v>
      </c>
      <c r="D45" s="25" t="s">
        <v>204</v>
      </c>
      <c r="E45" s="24"/>
      <c r="F45" s="24"/>
      <c r="G45" s="24"/>
      <c r="H45" s="24"/>
      <c r="I45" s="24" t="s">
        <v>49</v>
      </c>
      <c r="J45" s="21">
        <v>1</v>
      </c>
      <c r="K45" s="18">
        <v>14.25</v>
      </c>
      <c r="L45" s="18">
        <v>16.649999999999999</v>
      </c>
      <c r="M45" s="18">
        <v>30.55</v>
      </c>
      <c r="N45" s="18">
        <v>32.93</v>
      </c>
      <c r="O45" s="18">
        <v>46.54</v>
      </c>
      <c r="P45" s="19">
        <v>49.3</v>
      </c>
      <c r="Q45" s="19">
        <v>62.54</v>
      </c>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15" customHeight="1" x14ac:dyDescent="0.25">
      <c r="A46" s="24">
        <v>11</v>
      </c>
      <c r="B46" s="24" t="s">
        <v>52</v>
      </c>
      <c r="C46" s="24" t="s">
        <v>202</v>
      </c>
      <c r="D46" s="25" t="s">
        <v>204</v>
      </c>
      <c r="E46" s="24">
        <v>4.7</v>
      </c>
      <c r="F46" s="24" t="s">
        <v>14</v>
      </c>
      <c r="G46" s="24" t="s">
        <v>198</v>
      </c>
      <c r="H46" s="24">
        <v>0.97</v>
      </c>
      <c r="I46" s="24" t="s">
        <v>13</v>
      </c>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15" customHeight="1" x14ac:dyDescent="0.25">
      <c r="A47" s="24">
        <v>11</v>
      </c>
      <c r="B47" s="24" t="s">
        <v>52</v>
      </c>
      <c r="C47" s="24" t="s">
        <v>202</v>
      </c>
      <c r="D47" s="25" t="s">
        <v>204</v>
      </c>
      <c r="E47" s="24">
        <v>4.7</v>
      </c>
      <c r="F47" s="24" t="s">
        <v>14</v>
      </c>
      <c r="G47" s="24" t="s">
        <v>192</v>
      </c>
      <c r="H47" s="57">
        <f>0.05*1/22.4*1000</f>
        <v>2.2321428571428577</v>
      </c>
      <c r="I47" s="24" t="s">
        <v>13</v>
      </c>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15" customHeight="1" x14ac:dyDescent="0.25">
      <c r="A48" s="24">
        <v>11</v>
      </c>
      <c r="B48" s="24" t="s">
        <v>52</v>
      </c>
      <c r="C48" s="24" t="s">
        <v>202</v>
      </c>
      <c r="D48" s="25" t="s">
        <v>204</v>
      </c>
      <c r="E48" s="24">
        <v>4.7</v>
      </c>
      <c r="F48" s="24" t="s">
        <v>14</v>
      </c>
      <c r="G48" s="24" t="s">
        <v>199</v>
      </c>
      <c r="H48" s="24">
        <v>0</v>
      </c>
      <c r="I48" s="24" t="s">
        <v>13</v>
      </c>
      <c r="J48" s="23">
        <v>2.9454743305740178E-3</v>
      </c>
      <c r="K48" s="19">
        <v>2.7553146010648632E-2</v>
      </c>
      <c r="L48" s="19">
        <v>3.2267304030158178E-2</v>
      </c>
      <c r="M48" s="19">
        <v>5.3811744588239868E-2</v>
      </c>
      <c r="N48" s="19">
        <v>5.8235979946368199E-2</v>
      </c>
      <c r="O48" s="19">
        <v>9.726691539388288E-2</v>
      </c>
      <c r="P48" s="19">
        <v>0.10306051066806575</v>
      </c>
      <c r="Q48" s="19">
        <v>0.12363569235552445</v>
      </c>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15" customHeight="1" x14ac:dyDescent="0.25">
      <c r="A49" s="24">
        <v>12</v>
      </c>
      <c r="B49" s="24" t="s">
        <v>67</v>
      </c>
      <c r="C49" s="24" t="s">
        <v>202</v>
      </c>
      <c r="D49" s="25" t="s">
        <v>204</v>
      </c>
      <c r="E49" s="24"/>
      <c r="F49" s="24"/>
      <c r="G49" s="24"/>
      <c r="H49" s="24"/>
      <c r="I49" s="24" t="s">
        <v>49</v>
      </c>
      <c r="J49" s="21">
        <v>1</v>
      </c>
      <c r="K49" s="18">
        <v>14.25</v>
      </c>
      <c r="L49" s="18">
        <v>16.649999999999999</v>
      </c>
      <c r="M49" s="18">
        <v>30.55</v>
      </c>
      <c r="N49" s="18">
        <v>32.93</v>
      </c>
      <c r="O49" s="18">
        <v>46.54</v>
      </c>
      <c r="P49" s="19">
        <v>49.3</v>
      </c>
      <c r="Q49" s="19">
        <v>62.54</v>
      </c>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15" customHeight="1" x14ac:dyDescent="0.25">
      <c r="A50" s="24">
        <v>12</v>
      </c>
      <c r="B50" s="24" t="s">
        <v>52</v>
      </c>
      <c r="C50" s="24" t="s">
        <v>202</v>
      </c>
      <c r="D50" s="25" t="s">
        <v>204</v>
      </c>
      <c r="E50" s="24">
        <v>4.7</v>
      </c>
      <c r="F50" s="24" t="s">
        <v>14</v>
      </c>
      <c r="G50" s="24" t="s">
        <v>198</v>
      </c>
      <c r="H50" s="24">
        <v>0.97</v>
      </c>
      <c r="I50" s="24" t="s">
        <v>13</v>
      </c>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15" customHeight="1" x14ac:dyDescent="0.25">
      <c r="A51" s="24">
        <v>12</v>
      </c>
      <c r="B51" s="24" t="s">
        <v>52</v>
      </c>
      <c r="C51" s="24" t="s">
        <v>202</v>
      </c>
      <c r="D51" s="25" t="s">
        <v>204</v>
      </c>
      <c r="E51" s="24">
        <v>4.7</v>
      </c>
      <c r="F51" s="24" t="s">
        <v>14</v>
      </c>
      <c r="G51" s="24" t="s">
        <v>192</v>
      </c>
      <c r="H51" s="57">
        <f>0.03*1/22.4*1000</f>
        <v>1.3392857142857142</v>
      </c>
      <c r="I51" s="24" t="s">
        <v>13</v>
      </c>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15" customHeight="1" x14ac:dyDescent="0.25">
      <c r="A52" s="24">
        <v>12</v>
      </c>
      <c r="B52" s="24" t="s">
        <v>52</v>
      </c>
      <c r="C52" s="24" t="s">
        <v>202</v>
      </c>
      <c r="D52" s="25" t="s">
        <v>204</v>
      </c>
      <c r="E52" s="24">
        <v>4.7</v>
      </c>
      <c r="F52" s="24" t="s">
        <v>14</v>
      </c>
      <c r="G52" s="24" t="s">
        <v>199</v>
      </c>
      <c r="H52" s="24">
        <v>0</v>
      </c>
      <c r="I52" s="24" t="s">
        <v>13</v>
      </c>
      <c r="J52" s="23">
        <v>1.4826473903074109E-3</v>
      </c>
      <c r="K52" s="19">
        <v>2.0465586257821307E-2</v>
      </c>
      <c r="L52" s="19">
        <v>2.4029380902413435E-2</v>
      </c>
      <c r="M52" s="19">
        <v>4.1685126889743886E-2</v>
      </c>
      <c r="N52" s="19">
        <v>4.4833080719754385E-2</v>
      </c>
      <c r="O52" s="19">
        <v>7.7944891376161063E-2</v>
      </c>
      <c r="P52" s="19">
        <v>8.0395243091990198E-2</v>
      </c>
      <c r="Q52" s="19">
        <v>9.1187672457347171E-2</v>
      </c>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15" customHeight="1" x14ac:dyDescent="0.25"/>
    <row r="54" spans="1:45" ht="25.15" customHeight="1" x14ac:dyDescent="0.25"/>
    <row r="55" spans="1:45" ht="25.15" customHeight="1" x14ac:dyDescent="0.25"/>
    <row r="56" spans="1:45" ht="25.15" customHeight="1" x14ac:dyDescent="0.25"/>
    <row r="57" spans="1:45" ht="25.15" customHeight="1" x14ac:dyDescent="0.25"/>
    <row r="58" spans="1:45" ht="25.15" customHeight="1" x14ac:dyDescent="0.25"/>
    <row r="59" spans="1:45" ht="25.15" customHeight="1" x14ac:dyDescent="0.25"/>
    <row r="60" spans="1:45" ht="25.15" customHeight="1" x14ac:dyDescent="0.25"/>
    <row r="61" spans="1:45" ht="25.15" customHeight="1" x14ac:dyDescent="0.25"/>
    <row r="62" spans="1:45" ht="25.15" customHeight="1" x14ac:dyDescent="0.25"/>
    <row r="63" spans="1:45" ht="25.15" customHeight="1" x14ac:dyDescent="0.25"/>
    <row r="64" spans="1:45"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row r="402" ht="25.15" customHeight="1" x14ac:dyDescent="0.25"/>
    <row r="403" ht="25.15" customHeight="1" x14ac:dyDescent="0.25"/>
    <row r="404" ht="25.15" customHeight="1" x14ac:dyDescent="0.25"/>
    <row r="405" ht="25.15" customHeight="1" x14ac:dyDescent="0.25"/>
    <row r="406" ht="25.15" customHeight="1" x14ac:dyDescent="0.25"/>
    <row r="407" ht="25.15" customHeight="1" x14ac:dyDescent="0.25"/>
    <row r="408" ht="25.15" customHeight="1" x14ac:dyDescent="0.25"/>
    <row r="409" ht="25.15" customHeight="1" x14ac:dyDescent="0.25"/>
    <row r="410" ht="25.15" customHeight="1" x14ac:dyDescent="0.25"/>
    <row r="411" ht="25.15" customHeight="1" x14ac:dyDescent="0.25"/>
    <row r="412" ht="25.15" customHeight="1" x14ac:dyDescent="0.25"/>
    <row r="413" ht="25.15" customHeight="1" x14ac:dyDescent="0.25"/>
    <row r="414" ht="25.15" customHeight="1" x14ac:dyDescent="0.25"/>
    <row r="415" ht="25.15" customHeight="1" x14ac:dyDescent="0.25"/>
    <row r="416" ht="25.15" customHeight="1" x14ac:dyDescent="0.25"/>
    <row r="417" ht="25.15" customHeight="1" x14ac:dyDescent="0.25"/>
    <row r="418" ht="25.15" customHeight="1" x14ac:dyDescent="0.25"/>
    <row r="419" ht="25.15" customHeight="1" x14ac:dyDescent="0.25"/>
    <row r="420" ht="25.15" customHeight="1" x14ac:dyDescent="0.25"/>
    <row r="421" ht="25.15" customHeight="1" x14ac:dyDescent="0.25"/>
    <row r="422" ht="25.15" customHeight="1" x14ac:dyDescent="0.25"/>
    <row r="423" ht="25.15" customHeight="1" x14ac:dyDescent="0.25"/>
    <row r="424" ht="25.15" customHeight="1" x14ac:dyDescent="0.25"/>
    <row r="425" ht="25.15" customHeight="1" x14ac:dyDescent="0.25"/>
    <row r="426" ht="25.15" customHeight="1" x14ac:dyDescent="0.25"/>
    <row r="427" ht="25.15" customHeight="1" x14ac:dyDescent="0.25"/>
    <row r="428" ht="25.15" customHeight="1" x14ac:dyDescent="0.25"/>
    <row r="429" ht="25.15" customHeight="1" x14ac:dyDescent="0.25"/>
    <row r="430" ht="25.15" customHeight="1" x14ac:dyDescent="0.25"/>
    <row r="431" ht="25.15" customHeight="1" x14ac:dyDescent="0.25"/>
    <row r="432" ht="25.15" customHeight="1" x14ac:dyDescent="0.25"/>
    <row r="433" ht="25.15" customHeight="1" x14ac:dyDescent="0.25"/>
    <row r="434" ht="25.15" customHeight="1" x14ac:dyDescent="0.25"/>
    <row r="435" ht="25.15" customHeight="1" x14ac:dyDescent="0.25"/>
    <row r="436" ht="25.15" customHeight="1" x14ac:dyDescent="0.25"/>
    <row r="437" ht="25.15" customHeight="1" x14ac:dyDescent="0.25"/>
    <row r="438" ht="25.15" customHeight="1" x14ac:dyDescent="0.25"/>
    <row r="439" ht="25.15" customHeight="1" x14ac:dyDescent="0.25"/>
    <row r="440" ht="25.15" customHeight="1" x14ac:dyDescent="0.25"/>
    <row r="441" ht="25.15" customHeight="1" x14ac:dyDescent="0.25"/>
    <row r="442" ht="25.15" customHeight="1" x14ac:dyDescent="0.25"/>
    <row r="443" ht="25.15" customHeight="1" x14ac:dyDescent="0.25"/>
    <row r="444" ht="25.15" customHeight="1" x14ac:dyDescent="0.25"/>
    <row r="445" ht="25.15" customHeight="1" x14ac:dyDescent="0.25"/>
    <row r="446" ht="25.15" customHeight="1" x14ac:dyDescent="0.25"/>
    <row r="447" ht="25.15" customHeight="1" x14ac:dyDescent="0.25"/>
    <row r="448" ht="25.15" customHeight="1" x14ac:dyDescent="0.25"/>
    <row r="449" ht="25.15" customHeight="1" x14ac:dyDescent="0.25"/>
    <row r="450" ht="25.15" customHeight="1" x14ac:dyDescent="0.25"/>
    <row r="451" ht="25.15" customHeight="1" x14ac:dyDescent="0.25"/>
    <row r="452" ht="25.15" customHeight="1" x14ac:dyDescent="0.25"/>
    <row r="453" ht="25.15" customHeight="1" x14ac:dyDescent="0.25"/>
    <row r="454" ht="25.15" customHeight="1" x14ac:dyDescent="0.25"/>
    <row r="455" ht="25.15" customHeight="1" x14ac:dyDescent="0.25"/>
    <row r="456" ht="25.15" customHeight="1" x14ac:dyDescent="0.25"/>
    <row r="457" ht="25.15" customHeight="1" x14ac:dyDescent="0.25"/>
    <row r="458" ht="25.15" customHeight="1" x14ac:dyDescent="0.25"/>
    <row r="459" ht="25.15" customHeight="1" x14ac:dyDescent="0.25"/>
    <row r="460" ht="25.15" customHeight="1" x14ac:dyDescent="0.25"/>
    <row r="461" ht="25.15" customHeight="1" x14ac:dyDescent="0.2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formula1>0</formula1>
      <formula2>10000000</formula2>
    </dataValidation>
    <dataValidation allowBlank="1" showInputMessage="1" showErrorMessage="1" prompt="Unique Identifier for your measurements. Please make sure every execution/replicate has a single identifier." sqref="A3:A4"/>
    <dataValidation allowBlank="1" showInputMessage="1" showErrorMessage="1" prompt="Choose whether the data in the row describes time, absorption or concentration via dropdown" sqref="B3:B4"/>
    <dataValidation allowBlank="1" showInputMessage="1" showErrorMessage="1" prompt="Choose the described reaction via dropdown" sqref="C3:C4"/>
    <dataValidation allowBlank="1" showInputMessage="1" showErrorMessage="1" prompt="Choose the protein that was used via dropdown" sqref="D4"/>
    <dataValidation allowBlank="1" showInputMessage="1" showErrorMessage="1" prompt="The initial concentration value of the used protein" sqref="E4"/>
    <dataValidation allowBlank="1" showInputMessage="1" showErrorMessage="1" prompt="Choose the respective concentration unit via dropdown" sqref="F4 I4"/>
    <dataValidation allowBlank="1" showInputMessage="1" showErrorMessage="1" prompt="Choose the reactant/species that was used via dropdown" sqref="G4"/>
    <dataValidation allowBlank="1" showInputMessage="1" showErrorMessage="1" prompt="The initial concentration value of the used reactant/species" sqref="H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Proteins!$B$4:$B$23</xm:f>
          </x14:formula1>
          <xm:sqref>D5:D52</xm:sqref>
        </x14:dataValidation>
        <x14:dataValidation type="list" allowBlank="1" showInputMessage="1" showErrorMessage="1">
          <x14:formula1>
            <xm:f>Reactants!$B$4:$B$23</xm:f>
          </x14:formula1>
          <xm:sqref>G5:G52</xm:sqref>
        </x14:dataValidation>
        <x14:dataValidation type="list" allowBlank="1" showInputMessage="1" showErrorMessage="1">
          <x14:formula1>
            <xm:f>Reactions!$B$4:$B$23</xm:f>
          </x14:formula1>
          <xm:sqref>C5:C52</xm:sqref>
        </x14:dataValidation>
        <x14:dataValidation type="list" allowBlank="1" showInputMessage="1" showErrorMessage="1">
          <x14:formula1>
            <xm:f>Documentation!$I$4:$I$20</xm:f>
          </x14:formula1>
          <xm:sqref>F5:F52</xm:sqref>
        </x14:dataValidation>
        <x14:dataValidation type="list" allowBlank="1" showInputMessage="1" showErrorMessage="1">
          <x14:formula1>
            <xm:f>Documentation!$I$4:$I$27</xm:f>
          </x14:formula1>
          <xm:sqref>I5:I52</xm:sqref>
        </x14:dataValidation>
        <x14:dataValidation type="list" allowBlank="1" showInputMessage="1" showErrorMessage="1">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5" tint="0.39997558519241921"/>
  </sheetPr>
  <dimension ref="A1:L295"/>
  <sheetViews>
    <sheetView showGridLines="0" tabSelected="1" zoomScale="70" zoomScaleNormal="70" workbookViewId="0">
      <selection activeCell="F7" sqref="F7"/>
    </sheetView>
  </sheetViews>
  <sheetFormatPr defaultColWidth="25.7109375" defaultRowHeight="15" x14ac:dyDescent="0.25"/>
  <cols>
    <col min="1" max="2" width="25.7109375" style="2"/>
    <col min="3" max="3" width="31.42578125" style="2" customWidth="1"/>
    <col min="4" max="4" width="25.7109375" style="2" customWidth="1"/>
    <col min="5" max="7" width="25.7109375" style="2"/>
    <col min="8" max="8" width="6.28515625" style="2" customWidth="1"/>
    <col min="9" max="10" width="15.7109375" style="2" customWidth="1"/>
    <col min="11" max="11" width="29.28515625" style="2" customWidth="1"/>
    <col min="12" max="12" width="15.7109375" style="2" customWidth="1"/>
    <col min="13" max="16384" width="25.7109375" style="2"/>
  </cols>
  <sheetData>
    <row r="1" spans="1:12" ht="60" customHeight="1" x14ac:dyDescent="0.25">
      <c r="A1"/>
    </row>
    <row r="2" spans="1:12" ht="35.1" customHeight="1" x14ac:dyDescent="0.25">
      <c r="A2" s="80" t="s">
        <v>131</v>
      </c>
      <c r="B2" s="80"/>
      <c r="C2" s="7"/>
    </row>
    <row r="3" spans="1:12" ht="17.649999999999999" customHeight="1" x14ac:dyDescent="0.25">
      <c r="A3" s="81" t="s">
        <v>60</v>
      </c>
      <c r="B3" s="81" t="s">
        <v>54</v>
      </c>
      <c r="C3" s="81" t="s">
        <v>57</v>
      </c>
      <c r="D3" s="81"/>
      <c r="E3" s="85" t="s">
        <v>55</v>
      </c>
      <c r="F3" s="85"/>
      <c r="G3" s="85"/>
    </row>
    <row r="4" spans="1:12" ht="17.649999999999999" customHeight="1" x14ac:dyDescent="0.25">
      <c r="A4" s="81"/>
      <c r="B4" s="81"/>
      <c r="C4" s="6" t="s">
        <v>33</v>
      </c>
      <c r="D4" s="6" t="s">
        <v>4</v>
      </c>
      <c r="E4" s="11" t="s">
        <v>5</v>
      </c>
      <c r="F4" s="11" t="s">
        <v>56</v>
      </c>
      <c r="G4" s="11" t="s">
        <v>7</v>
      </c>
    </row>
    <row r="5" spans="1:12" ht="25.15" customHeight="1" x14ac:dyDescent="0.25">
      <c r="A5" s="33" t="s">
        <v>201</v>
      </c>
      <c r="B5" s="33" t="s">
        <v>157</v>
      </c>
      <c r="C5" s="33" t="s">
        <v>203</v>
      </c>
      <c r="D5" s="33" t="s">
        <v>205</v>
      </c>
      <c r="E5" s="33" t="s">
        <v>62</v>
      </c>
      <c r="F5" s="33">
        <v>1.212</v>
      </c>
      <c r="G5" s="33" t="s">
        <v>13</v>
      </c>
    </row>
    <row r="6" spans="1:12" ht="25.15" customHeight="1" x14ac:dyDescent="0.25">
      <c r="A6" s="33" t="s">
        <v>202</v>
      </c>
      <c r="B6" s="33" t="s">
        <v>157</v>
      </c>
      <c r="C6" s="33" t="s">
        <v>204</v>
      </c>
      <c r="D6" s="33" t="s">
        <v>205</v>
      </c>
      <c r="E6" s="24" t="s">
        <v>63</v>
      </c>
      <c r="F6" s="58">
        <v>1.986</v>
      </c>
      <c r="G6" s="24" t="s">
        <v>128</v>
      </c>
      <c r="I6" s="84" t="s">
        <v>46</v>
      </c>
      <c r="J6" s="84"/>
      <c r="K6" s="84" t="s">
        <v>65</v>
      </c>
      <c r="L6" s="84"/>
    </row>
    <row r="7" spans="1:12" ht="25.15" customHeight="1" x14ac:dyDescent="0.25">
      <c r="A7" s="24" t="s">
        <v>210</v>
      </c>
      <c r="B7" s="33" t="s">
        <v>212</v>
      </c>
      <c r="C7" s="24" t="s">
        <v>193</v>
      </c>
      <c r="D7" s="33" t="s">
        <v>205</v>
      </c>
      <c r="E7" s="24"/>
      <c r="F7" s="24"/>
      <c r="G7" s="24"/>
      <c r="I7" s="17" t="s">
        <v>5</v>
      </c>
      <c r="J7" s="17" t="s">
        <v>72</v>
      </c>
      <c r="K7" s="17" t="s">
        <v>5</v>
      </c>
      <c r="L7" s="17" t="s">
        <v>72</v>
      </c>
    </row>
    <row r="8" spans="1:12" ht="25.15" customHeight="1" x14ac:dyDescent="0.25">
      <c r="A8" s="24"/>
      <c r="B8" s="24"/>
      <c r="C8" s="24"/>
      <c r="D8" s="24"/>
      <c r="E8" s="24"/>
      <c r="F8" s="24"/>
      <c r="G8" s="24"/>
      <c r="I8" s="16" t="str" cm="1">
        <f t="array" ref="I8:I27">Reactants!B4:B23</f>
        <v>ABTS reduced</v>
      </c>
      <c r="J8" s="16" t="str">
        <f>IF(I8=" "," ",Reactants!A4)</f>
        <v>s0</v>
      </c>
      <c r="K8" s="16" t="str" cm="1">
        <f t="array" ref="K8:K27">Proteins!B4:B23</f>
        <v>Laccase, HTR</v>
      </c>
      <c r="L8" s="16" t="str">
        <f>IF(K8=" "," ",Proteins!A4)</f>
        <v>p0</v>
      </c>
    </row>
    <row r="9" spans="1:12" ht="25.15" customHeight="1" x14ac:dyDescent="0.25">
      <c r="A9" s="24"/>
      <c r="B9" s="24"/>
      <c r="C9" s="24"/>
      <c r="D9" s="24"/>
      <c r="E9" s="24"/>
      <c r="F9" s="24"/>
      <c r="G9" s="24"/>
      <c r="I9" s="16" t="str">
        <v>oxygen</v>
      </c>
      <c r="J9" s="16" t="str">
        <f>IF(I9=" "," ",Reactants!A5)</f>
        <v>s1</v>
      </c>
      <c r="K9" s="16" t="str">
        <v>Laccase, SCR</v>
      </c>
      <c r="L9" s="16" t="str">
        <f>IF(K9=" "," ",Proteins!A5)</f>
        <v>p1</v>
      </c>
    </row>
    <row r="10" spans="1:12" ht="25.15" customHeight="1" x14ac:dyDescent="0.25">
      <c r="A10" s="24"/>
      <c r="B10" s="24"/>
      <c r="C10" s="24"/>
      <c r="D10" s="24"/>
      <c r="E10" s="24"/>
      <c r="F10" s="24"/>
      <c r="G10" s="24"/>
      <c r="I10" s="16" t="str">
        <v>ABTS oxidized</v>
      </c>
      <c r="J10" s="16" t="str">
        <f>IF(I10=" "," ",Reactants!A6)</f>
        <v>s2</v>
      </c>
      <c r="K10" s="16" t="str">
        <v>Laccase</v>
      </c>
      <c r="L10" s="16" t="str">
        <f>IF(K10=" "," ",Proteins!A6)</f>
        <v>p2</v>
      </c>
    </row>
    <row r="11" spans="1:12" ht="25.15" customHeight="1" x14ac:dyDescent="0.25">
      <c r="A11" s="24"/>
      <c r="B11" s="24"/>
      <c r="C11" s="24"/>
      <c r="D11" s="24"/>
      <c r="E11" s="24"/>
      <c r="F11" s="24"/>
      <c r="G11" s="24"/>
      <c r="I11" s="2" t="str">
        <v>ABTS reduced</v>
      </c>
      <c r="J11" s="2" t="str">
        <f>IF(I11=" "," ",Reactants!A7)</f>
        <v>s3</v>
      </c>
      <c r="K11" s="2">
        <v>0</v>
      </c>
      <c r="L11" s="16" t="str">
        <f>IF(K11=" "," ",Proteins!A7)</f>
        <v>p3</v>
      </c>
    </row>
    <row r="12" spans="1:12" ht="25.15" customHeight="1" x14ac:dyDescent="0.25">
      <c r="A12" s="24"/>
      <c r="B12" s="24"/>
      <c r="C12" s="24"/>
      <c r="D12" s="24"/>
      <c r="E12" s="24"/>
      <c r="F12" s="24"/>
      <c r="G12" s="24"/>
      <c r="I12" s="2" t="str">
        <v>oxygen</v>
      </c>
      <c r="J12" s="2" t="str">
        <f>IF(I12=" "," ",Reactants!A8)</f>
        <v>s4</v>
      </c>
      <c r="K12" s="2">
        <v>0</v>
      </c>
      <c r="L12" s="16" t="str">
        <f>IF(K12=" "," ",Proteins!A8)</f>
        <v>p4</v>
      </c>
    </row>
    <row r="13" spans="1:12" ht="25.15" customHeight="1" x14ac:dyDescent="0.25">
      <c r="A13" s="24"/>
      <c r="B13" s="24"/>
      <c r="C13" s="24"/>
      <c r="D13" s="24"/>
      <c r="E13" s="24"/>
      <c r="F13" s="24"/>
      <c r="G13" s="24"/>
      <c r="I13" s="2" t="str">
        <v>ABTS oxidized</v>
      </c>
      <c r="J13" s="2" t="str">
        <f>IF(I13=" "," ",Reactants!A9)</f>
        <v>s5</v>
      </c>
      <c r="K13" s="2">
        <v>0</v>
      </c>
      <c r="L13" s="16" t="str">
        <f>IF(K13=" "," ",Proteins!A9)</f>
        <v>p5</v>
      </c>
    </row>
    <row r="14" spans="1:12" ht="25.15" customHeight="1" x14ac:dyDescent="0.25">
      <c r="A14" s="24"/>
      <c r="B14" s="24"/>
      <c r="C14" s="24"/>
      <c r="D14" s="24"/>
      <c r="E14" s="24"/>
      <c r="F14" s="24"/>
      <c r="G14" s="24"/>
      <c r="I14" s="2">
        <v>0</v>
      </c>
      <c r="J14" s="2" t="str">
        <f>IF(I14=" "," ",Reactants!A10)</f>
        <v>s6</v>
      </c>
      <c r="K14" s="2">
        <v>0</v>
      </c>
      <c r="L14" s="16" t="str">
        <f>IF(K14=" "," ",Proteins!A10)</f>
        <v>p6</v>
      </c>
    </row>
    <row r="15" spans="1:12" ht="25.15" customHeight="1" x14ac:dyDescent="0.25">
      <c r="A15" s="24"/>
      <c r="B15" s="24"/>
      <c r="C15" s="24"/>
      <c r="D15" s="24"/>
      <c r="E15" s="24"/>
      <c r="F15" s="24"/>
      <c r="G15" s="24"/>
      <c r="I15" s="2">
        <v>0</v>
      </c>
      <c r="J15" s="2" t="str">
        <f>IF(I15=" "," ",Reactants!A11)</f>
        <v>s7</v>
      </c>
      <c r="K15" s="2">
        <v>0</v>
      </c>
      <c r="L15" s="16" t="str">
        <f>IF(K15=" "," ",Proteins!A11)</f>
        <v>p7</v>
      </c>
    </row>
    <row r="16" spans="1:12" ht="25.15" customHeight="1" x14ac:dyDescent="0.25">
      <c r="A16" s="24"/>
      <c r="B16" s="24"/>
      <c r="C16" s="24" t="s">
        <v>213</v>
      </c>
      <c r="D16" s="24"/>
      <c r="E16" s="24"/>
      <c r="F16" s="24"/>
      <c r="G16" s="24"/>
      <c r="I16" s="2">
        <v>0</v>
      </c>
      <c r="J16" s="2" t="str">
        <f>IF(I16=" "," ",Reactants!A12)</f>
        <v>s8</v>
      </c>
      <c r="K16" s="2">
        <v>0</v>
      </c>
      <c r="L16" s="16" t="str">
        <f>IF(K16=" "," ",Proteins!A12)</f>
        <v>p8</v>
      </c>
    </row>
    <row r="17" spans="1:12" ht="25.15" customHeight="1" x14ac:dyDescent="0.25">
      <c r="A17" s="24"/>
      <c r="B17" s="24"/>
      <c r="C17" s="24"/>
      <c r="D17" s="24"/>
      <c r="E17" s="24"/>
      <c r="F17" s="24"/>
      <c r="G17" s="24"/>
      <c r="I17" s="2">
        <v>0</v>
      </c>
      <c r="J17" s="2" t="str">
        <f>IF(I17=" "," ",Reactants!A13)</f>
        <v>s9</v>
      </c>
      <c r="K17" s="2">
        <v>0</v>
      </c>
      <c r="L17" s="16" t="str">
        <f>IF(K17=" "," ",Proteins!A13)</f>
        <v>p9</v>
      </c>
    </row>
    <row r="18" spans="1:12" ht="25.15" customHeight="1" x14ac:dyDescent="0.25">
      <c r="A18" s="24"/>
      <c r="B18" s="24"/>
      <c r="C18" s="24"/>
      <c r="D18" s="24"/>
      <c r="E18" s="24"/>
      <c r="F18" s="24"/>
      <c r="G18" s="24"/>
      <c r="I18" s="2">
        <v>0</v>
      </c>
      <c r="J18" s="2" t="str">
        <f>IF(I18=" "," ",Reactants!A14)</f>
        <v>s10</v>
      </c>
      <c r="K18" s="2">
        <v>0</v>
      </c>
      <c r="L18" s="16" t="str">
        <f>IF(K18=" "," ",Proteins!A14)</f>
        <v>p10</v>
      </c>
    </row>
    <row r="19" spans="1:12" ht="25.15" customHeight="1" x14ac:dyDescent="0.25">
      <c r="A19" s="24"/>
      <c r="B19" s="24"/>
      <c r="C19" s="24"/>
      <c r="D19" s="24"/>
      <c r="E19" s="24"/>
      <c r="F19" s="24"/>
      <c r="G19" s="24"/>
      <c r="I19" s="2">
        <v>0</v>
      </c>
      <c r="J19" s="2" t="str">
        <f>IF(I19=" "," ",Reactants!A15)</f>
        <v>s11</v>
      </c>
      <c r="K19" s="2">
        <v>0</v>
      </c>
      <c r="L19" s="16" t="str">
        <f>IF(K19=" "," ",Proteins!A15)</f>
        <v>p11</v>
      </c>
    </row>
    <row r="20" spans="1:12" ht="25.15" customHeight="1" x14ac:dyDescent="0.25">
      <c r="A20" s="24"/>
      <c r="B20" s="24"/>
      <c r="C20" s="24"/>
      <c r="D20" s="24"/>
      <c r="E20" s="24"/>
      <c r="F20" s="24"/>
      <c r="G20" s="24"/>
      <c r="I20" s="2">
        <v>0</v>
      </c>
      <c r="J20" s="2" t="str">
        <f>IF(I20=" "," ",Reactants!A16)</f>
        <v>s12</v>
      </c>
      <c r="K20" s="2">
        <v>0</v>
      </c>
      <c r="L20" s="16" t="str">
        <f>IF(K20=" "," ",Proteins!A16)</f>
        <v>p12</v>
      </c>
    </row>
    <row r="21" spans="1:12" ht="25.15" customHeight="1" x14ac:dyDescent="0.25">
      <c r="A21" s="24"/>
      <c r="B21" s="24"/>
      <c r="C21" s="24"/>
      <c r="D21" s="24"/>
      <c r="E21" s="24"/>
      <c r="F21" s="24"/>
      <c r="G21" s="24"/>
      <c r="I21" s="2">
        <v>0</v>
      </c>
      <c r="J21" s="2" t="str">
        <f>IF(I21=" "," ",Reactants!A17)</f>
        <v>s13</v>
      </c>
      <c r="K21" s="2">
        <v>0</v>
      </c>
      <c r="L21" s="16" t="str">
        <f>IF(K21=" "," ",Proteins!A17)</f>
        <v>p13</v>
      </c>
    </row>
    <row r="22" spans="1:12" ht="25.15" customHeight="1" x14ac:dyDescent="0.25">
      <c r="A22" s="24"/>
      <c r="B22" s="24"/>
      <c r="C22" s="24"/>
      <c r="D22" s="24"/>
      <c r="E22" s="24"/>
      <c r="F22" s="24"/>
      <c r="G22" s="24"/>
      <c r="I22" s="2">
        <v>0</v>
      </c>
      <c r="J22" s="2" t="str">
        <f>IF(I22=" "," ",Reactants!A18)</f>
        <v>s14</v>
      </c>
      <c r="K22" s="2">
        <v>0</v>
      </c>
      <c r="L22" s="16" t="str">
        <f>IF(K22=" "," ",Proteins!A18)</f>
        <v>p14</v>
      </c>
    </row>
    <row r="23" spans="1:12" ht="25.15" customHeight="1" x14ac:dyDescent="0.25">
      <c r="A23" s="24"/>
      <c r="B23" s="24"/>
      <c r="C23" s="24"/>
      <c r="D23" s="24"/>
      <c r="E23" s="24"/>
      <c r="F23" s="24"/>
      <c r="G23" s="24"/>
      <c r="I23" s="2">
        <v>0</v>
      </c>
      <c r="J23" s="2" t="str">
        <f>IF(I23=" "," ",Reactants!A19)</f>
        <v>s15</v>
      </c>
      <c r="K23" s="2">
        <v>0</v>
      </c>
      <c r="L23" s="16" t="str">
        <f>IF(K23=" "," ",Proteins!A19)</f>
        <v>p15</v>
      </c>
    </row>
    <row r="24" spans="1:12" ht="25.15" customHeight="1" x14ac:dyDescent="0.25">
      <c r="A24" s="24"/>
      <c r="B24" s="24"/>
      <c r="C24" s="24"/>
      <c r="D24" s="24"/>
      <c r="E24" s="24"/>
      <c r="F24" s="24"/>
      <c r="G24" s="24"/>
      <c r="I24" s="2">
        <v>0</v>
      </c>
      <c r="J24" s="2" t="str">
        <f>IF(I24=" "," ",Reactants!A20)</f>
        <v>s16</v>
      </c>
      <c r="K24" s="2">
        <v>0</v>
      </c>
      <c r="L24" s="16" t="str">
        <f>IF(K24=" "," ",Proteins!A20)</f>
        <v>p16</v>
      </c>
    </row>
    <row r="25" spans="1:12" ht="25.15" customHeight="1" x14ac:dyDescent="0.25">
      <c r="A25" s="16"/>
      <c r="B25" s="16"/>
      <c r="C25" s="16"/>
      <c r="D25" s="16"/>
      <c r="E25" s="16"/>
      <c r="F25" s="16"/>
      <c r="G25" s="16"/>
      <c r="I25" s="2">
        <v>0</v>
      </c>
      <c r="J25" s="2" t="str">
        <f>IF(I25=" "," ",Reactants!A21)</f>
        <v>s17</v>
      </c>
      <c r="K25" s="2">
        <v>0</v>
      </c>
      <c r="L25" s="16" t="str">
        <f>IF(K25=" "," ",Proteins!A21)</f>
        <v>p17</v>
      </c>
    </row>
    <row r="26" spans="1:12" ht="25.15" customHeight="1" x14ac:dyDescent="0.25">
      <c r="A26" s="16"/>
      <c r="B26" s="16"/>
      <c r="C26" s="16"/>
      <c r="D26" s="16"/>
      <c r="E26" s="16"/>
      <c r="F26" s="16"/>
      <c r="G26" s="16"/>
      <c r="I26" s="2">
        <v>0</v>
      </c>
      <c r="J26" s="2" t="str">
        <f>IF(I26=" "," ",Reactants!A22)</f>
        <v>s18</v>
      </c>
      <c r="K26" s="2">
        <v>0</v>
      </c>
      <c r="L26" s="16" t="str">
        <f>IF(K26=" "," ",Proteins!A22)</f>
        <v>p18</v>
      </c>
    </row>
    <row r="27" spans="1:12" ht="25.15" customHeight="1" x14ac:dyDescent="0.25">
      <c r="A27" s="16"/>
      <c r="B27" s="16"/>
      <c r="C27" s="16"/>
      <c r="D27" s="16"/>
      <c r="E27" s="16"/>
      <c r="F27" s="16"/>
      <c r="G27" s="16"/>
      <c r="I27" s="2">
        <v>0</v>
      </c>
      <c r="J27" s="2" t="str">
        <f>IF(I27=" "," ",Reactants!A23)</f>
        <v>s19</v>
      </c>
      <c r="K27" s="2">
        <v>0</v>
      </c>
      <c r="L27" s="16" t="str">
        <f>IF(K27=" "," ",Proteins!A23)</f>
        <v>p19</v>
      </c>
    </row>
    <row r="28" spans="1:12" ht="25.15" customHeight="1" x14ac:dyDescent="0.25">
      <c r="A28" s="16"/>
      <c r="B28" s="16"/>
      <c r="C28" s="16"/>
      <c r="D28" s="16"/>
      <c r="E28" s="16"/>
      <c r="F28" s="16"/>
      <c r="G28" s="16"/>
      <c r="L28" s="16"/>
    </row>
    <row r="29" spans="1:12" ht="25.15" customHeight="1" x14ac:dyDescent="0.25">
      <c r="A29" s="16"/>
      <c r="B29" s="16"/>
      <c r="C29" s="16"/>
      <c r="D29" s="16"/>
      <c r="E29" s="16"/>
      <c r="F29" s="16"/>
      <c r="G29" s="16"/>
      <c r="L29" s="16"/>
    </row>
    <row r="30" spans="1:12" ht="25.15" customHeight="1" x14ac:dyDescent="0.25">
      <c r="A30" s="16"/>
      <c r="B30" s="16"/>
      <c r="C30" s="16"/>
      <c r="D30" s="16"/>
      <c r="E30" s="16"/>
      <c r="F30" s="16"/>
      <c r="G30" s="16"/>
      <c r="L30" s="16"/>
    </row>
    <row r="31" spans="1:12" ht="25.15" customHeight="1" x14ac:dyDescent="0.25">
      <c r="A31" s="16"/>
      <c r="B31" s="16"/>
      <c r="C31" s="16"/>
      <c r="D31" s="16"/>
      <c r="E31" s="16"/>
      <c r="F31" s="16"/>
      <c r="G31" s="16"/>
      <c r="L31" s="16"/>
    </row>
    <row r="32" spans="1:12" ht="25.15" customHeight="1" x14ac:dyDescent="0.25">
      <c r="A32" s="16"/>
      <c r="B32" s="16"/>
      <c r="C32" s="16"/>
      <c r="D32" s="16"/>
      <c r="E32" s="16"/>
      <c r="F32" s="16"/>
      <c r="G32" s="16"/>
      <c r="L32" s="16"/>
    </row>
    <row r="33" spans="1:12" ht="25.15" customHeight="1" x14ac:dyDescent="0.25">
      <c r="A33" s="16"/>
      <c r="B33" s="16"/>
      <c r="C33" s="16"/>
      <c r="D33" s="16"/>
      <c r="E33" s="16"/>
      <c r="F33" s="16"/>
      <c r="G33" s="16"/>
      <c r="L33" s="16"/>
    </row>
    <row r="34" spans="1:12" ht="25.15" customHeight="1" x14ac:dyDescent="0.25">
      <c r="A34" s="16"/>
      <c r="B34" s="16"/>
      <c r="C34" s="16"/>
      <c r="D34" s="16"/>
      <c r="E34" s="16"/>
      <c r="F34" s="16"/>
      <c r="G34" s="16"/>
      <c r="L34" s="16"/>
    </row>
    <row r="35" spans="1:12" ht="25.15" customHeight="1" x14ac:dyDescent="0.25">
      <c r="A35" s="16"/>
      <c r="B35" s="16"/>
      <c r="C35" s="16"/>
      <c r="D35" s="16"/>
      <c r="E35" s="16"/>
      <c r="F35" s="16"/>
      <c r="G35" s="16"/>
      <c r="L35" s="16"/>
    </row>
    <row r="36" spans="1:12" ht="25.15" customHeight="1" x14ac:dyDescent="0.25">
      <c r="A36" s="16"/>
      <c r="B36" s="16"/>
      <c r="C36" s="16"/>
      <c r="D36" s="16"/>
      <c r="E36" s="16"/>
      <c r="F36" s="16"/>
      <c r="G36" s="16"/>
      <c r="L36" s="16"/>
    </row>
    <row r="37" spans="1:12" ht="25.15" customHeight="1" x14ac:dyDescent="0.25">
      <c r="A37" s="16"/>
      <c r="B37" s="16"/>
      <c r="C37" s="16"/>
      <c r="D37" s="16"/>
      <c r="E37" s="16"/>
      <c r="F37" s="16"/>
      <c r="G37" s="16"/>
      <c r="L37" s="16"/>
    </row>
    <row r="38" spans="1:12" ht="25.15" customHeight="1" x14ac:dyDescent="0.25">
      <c r="A38" s="16"/>
      <c r="B38" s="16"/>
      <c r="C38" s="16"/>
      <c r="D38" s="16"/>
      <c r="E38" s="16"/>
      <c r="F38" s="16"/>
      <c r="G38" s="16"/>
      <c r="L38" s="16"/>
    </row>
    <row r="39" spans="1:12" ht="25.15" customHeight="1" x14ac:dyDescent="0.25">
      <c r="A39" s="16"/>
      <c r="B39" s="16"/>
      <c r="C39" s="16"/>
      <c r="D39" s="16"/>
      <c r="E39" s="16"/>
      <c r="F39" s="16"/>
      <c r="G39" s="16"/>
      <c r="L39" s="16"/>
    </row>
    <row r="40" spans="1:12" ht="25.15" customHeight="1" x14ac:dyDescent="0.25">
      <c r="A40" s="16"/>
      <c r="B40" s="16"/>
      <c r="C40" s="16"/>
      <c r="D40" s="16"/>
      <c r="E40" s="16"/>
      <c r="F40" s="16"/>
      <c r="G40" s="16"/>
      <c r="L40" s="16"/>
    </row>
    <row r="41" spans="1:12" ht="25.15" customHeight="1" x14ac:dyDescent="0.25">
      <c r="A41" s="16"/>
      <c r="B41" s="16"/>
      <c r="C41" s="16"/>
      <c r="D41" s="16"/>
      <c r="E41" s="16"/>
      <c r="F41" s="16"/>
      <c r="G41" s="16"/>
      <c r="L41" s="16"/>
    </row>
    <row r="42" spans="1:12" ht="25.15" customHeight="1" x14ac:dyDescent="0.25">
      <c r="A42" s="16"/>
      <c r="B42" s="16"/>
      <c r="C42" s="16"/>
      <c r="D42" s="16"/>
      <c r="E42" s="16"/>
      <c r="F42" s="16"/>
      <c r="G42" s="16"/>
      <c r="L42" s="16"/>
    </row>
    <row r="43" spans="1:12" ht="25.15" customHeight="1" x14ac:dyDescent="0.25">
      <c r="A43" s="16"/>
      <c r="B43" s="16"/>
      <c r="C43" s="16"/>
      <c r="D43" s="16"/>
      <c r="E43" s="16"/>
      <c r="F43" s="16"/>
      <c r="G43" s="16"/>
      <c r="L43" s="16"/>
    </row>
    <row r="44" spans="1:12" ht="25.15" customHeight="1" x14ac:dyDescent="0.25">
      <c r="A44" s="16"/>
      <c r="B44" s="16"/>
      <c r="C44" s="16"/>
      <c r="D44" s="16"/>
      <c r="E44" s="16"/>
      <c r="F44" s="16"/>
      <c r="G44" s="16"/>
      <c r="L44" s="16"/>
    </row>
    <row r="45" spans="1:12" ht="25.15" customHeight="1" x14ac:dyDescent="0.25">
      <c r="A45" s="16"/>
      <c r="B45" s="16"/>
      <c r="C45" s="16"/>
      <c r="D45" s="16"/>
      <c r="E45" s="16"/>
      <c r="F45" s="16"/>
      <c r="G45" s="16"/>
      <c r="L45" s="16"/>
    </row>
    <row r="46" spans="1:12" ht="25.15" customHeight="1" x14ac:dyDescent="0.25">
      <c r="A46" s="16"/>
      <c r="B46" s="16"/>
      <c r="C46" s="16"/>
      <c r="D46" s="16"/>
      <c r="E46" s="16"/>
      <c r="F46" s="16"/>
      <c r="G46" s="16"/>
      <c r="L46" s="16"/>
    </row>
    <row r="47" spans="1:12" ht="25.15" customHeight="1" x14ac:dyDescent="0.25">
      <c r="A47" s="16"/>
      <c r="B47" s="16"/>
      <c r="C47" s="16"/>
      <c r="D47" s="16"/>
      <c r="E47" s="16"/>
      <c r="F47" s="16"/>
      <c r="G47" s="16"/>
      <c r="L47" s="16"/>
    </row>
    <row r="48" spans="1:12" ht="25.15" customHeight="1" x14ac:dyDescent="0.25">
      <c r="A48" s="16"/>
      <c r="B48" s="16"/>
      <c r="C48" s="16"/>
      <c r="D48" s="16"/>
      <c r="E48" s="16"/>
      <c r="F48" s="16"/>
      <c r="G48" s="16"/>
    </row>
    <row r="49" spans="1:7" ht="25.15" customHeight="1" x14ac:dyDescent="0.25">
      <c r="A49" s="16"/>
      <c r="B49" s="16"/>
      <c r="C49" s="16"/>
      <c r="D49" s="16"/>
      <c r="E49" s="16"/>
      <c r="F49" s="16"/>
      <c r="G49" s="16"/>
    </row>
    <row r="50" spans="1:7" ht="25.15" customHeight="1" x14ac:dyDescent="0.25">
      <c r="A50" s="16"/>
      <c r="B50" s="16"/>
      <c r="C50" s="16"/>
      <c r="D50" s="16"/>
      <c r="E50" s="16"/>
      <c r="F50" s="16"/>
      <c r="G50" s="16"/>
    </row>
    <row r="51" spans="1:7" ht="25.15" customHeight="1" x14ac:dyDescent="0.25">
      <c r="A51" s="16"/>
      <c r="B51" s="16"/>
      <c r="C51" s="16"/>
      <c r="D51" s="16"/>
      <c r="E51" s="16"/>
      <c r="F51" s="16"/>
      <c r="G51" s="16"/>
    </row>
    <row r="52" spans="1:7" ht="25.15" customHeight="1" x14ac:dyDescent="0.25">
      <c r="A52" s="16"/>
      <c r="B52" s="16"/>
      <c r="C52" s="16"/>
      <c r="D52" s="16"/>
      <c r="E52" s="16"/>
      <c r="F52" s="16"/>
      <c r="G52" s="16"/>
    </row>
    <row r="53" spans="1:7" ht="25.15" customHeight="1" x14ac:dyDescent="0.25">
      <c r="A53" s="16"/>
      <c r="B53" s="16"/>
      <c r="C53" s="16"/>
      <c r="D53" s="16"/>
      <c r="E53" s="16"/>
      <c r="F53" s="16"/>
      <c r="G53" s="16"/>
    </row>
    <row r="54" spans="1:7" ht="25.15" customHeight="1" x14ac:dyDescent="0.25">
      <c r="A54" s="16"/>
      <c r="B54" s="16"/>
      <c r="C54" s="16"/>
      <c r="D54" s="16"/>
      <c r="E54" s="16"/>
      <c r="F54" s="16"/>
      <c r="G54" s="16"/>
    </row>
    <row r="55" spans="1:7" ht="25.15" customHeight="1" x14ac:dyDescent="0.25">
      <c r="A55" s="16"/>
      <c r="B55" s="16"/>
      <c r="C55" s="16"/>
      <c r="D55" s="16"/>
      <c r="E55" s="16"/>
      <c r="F55" s="16"/>
      <c r="G55" s="16"/>
    </row>
    <row r="56" spans="1:7" ht="25.15" customHeight="1" x14ac:dyDescent="0.25">
      <c r="A56" s="16"/>
      <c r="B56" s="16"/>
      <c r="C56" s="16"/>
      <c r="D56" s="16"/>
      <c r="E56" s="16"/>
      <c r="F56" s="16"/>
      <c r="G56" s="16"/>
    </row>
    <row r="57" spans="1:7" ht="25.15" customHeight="1" x14ac:dyDescent="0.25">
      <c r="A57" s="16"/>
      <c r="B57" s="16"/>
      <c r="C57" s="16"/>
      <c r="D57" s="16"/>
      <c r="E57" s="16"/>
      <c r="F57" s="16"/>
      <c r="G57" s="16"/>
    </row>
    <row r="58" spans="1:7" ht="25.15" customHeight="1" x14ac:dyDescent="0.25"/>
    <row r="59" spans="1:7" ht="25.15" customHeight="1" x14ac:dyDescent="0.25"/>
    <row r="60" spans="1:7" ht="25.15" customHeight="1" x14ac:dyDescent="0.25"/>
    <row r="61" spans="1:7" ht="25.15" customHeight="1" x14ac:dyDescent="0.25"/>
    <row r="62" spans="1:7" ht="25.15" customHeight="1" x14ac:dyDescent="0.25"/>
    <row r="63" spans="1:7" ht="25.15" customHeight="1" x14ac:dyDescent="0.25"/>
    <row r="64" spans="1:7"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sheetData>
  <mergeCells count="7">
    <mergeCell ref="I6:J6"/>
    <mergeCell ref="K6:L6"/>
    <mergeCell ref="C3:D3"/>
    <mergeCell ref="A2:B2"/>
    <mergeCell ref="E3:G3"/>
    <mergeCell ref="A3:A4"/>
    <mergeCell ref="B3:B4"/>
  </mergeCells>
  <dataValidations count="8">
    <dataValidation type="decimal" allowBlank="1" showInputMessage="1" showErrorMessage="1" sqref="F5 F7">
      <formula1>-100000000000</formula1>
      <formula2>100000000000</formula2>
    </dataValidation>
    <dataValidation allowBlank="1" showInputMessage="1" showErrorMessage="1" prompt="Choose the reaction that has been modeled via dropdown" sqref="A3:A4"/>
    <dataValidation allowBlank="1" showInputMessage="1" showErrorMessage="1" prompt="Provide an algebraic equation that describes the used model. Use the blue table on the right to enter the correct identifier." sqref="B3:B4"/>
    <dataValidation allowBlank="1" showInputMessage="1" showErrorMessage="1" prompt="Choose the modeled protein via dropdown" sqref="C4"/>
    <dataValidation allowBlank="1" showInputMessage="1" showErrorMessage="1" prompt="Choose the modeled reactants via dropdown. Please note, that multiple successive selections are possible" sqref="D4"/>
    <dataValidation allowBlank="1" showInputMessage="1" showErrorMessage="1" prompt="Name of your parameter" sqref="E4"/>
    <dataValidation allowBlank="1" showInputMessage="1" showErrorMessage="1" prompt="Numeric value of given parameter" sqref="F4"/>
    <dataValidation allowBlank="1" showInputMessage="1" showErrorMessage="1" prompt="Unit of given parameter" sqref="G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Reactions!$B$4:$B$23</xm:f>
          </x14:formula1>
          <xm:sqref>A5:A7</xm:sqref>
        </x14:dataValidation>
        <x14:dataValidation type="list" allowBlank="1" showInputMessage="1" showErrorMessage="1">
          <x14:formula1>
            <xm:f>Reactants!$B$4:$B$23</xm:f>
          </x14:formula1>
          <xm:sqref>D5:D7</xm:sqref>
        </x14:dataValidation>
        <x14:dataValidation type="list" allowBlank="1" showInputMessage="1" showErrorMessage="1">
          <x14:formula1>
            <xm:f>Proteins!$B$4:$B$23</xm:f>
          </x14:formula1>
          <xm:sqref>C5:C7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4" tint="0.39997558519241921"/>
  </sheetPr>
  <dimension ref="A1:T55"/>
  <sheetViews>
    <sheetView showGridLines="0" zoomScaleNormal="100" workbookViewId="0">
      <selection activeCell="B7" sqref="B7"/>
    </sheetView>
  </sheetViews>
  <sheetFormatPr defaultColWidth="25.7109375" defaultRowHeight="15" x14ac:dyDescent="0.25"/>
  <cols>
    <col min="2" max="2" width="102.7109375" customWidth="1"/>
  </cols>
  <sheetData>
    <row r="1" spans="1:20" ht="60" customHeight="1" x14ac:dyDescent="0.25">
      <c r="B1" s="2"/>
      <c r="C1" s="2"/>
      <c r="D1" s="12"/>
      <c r="E1" s="12"/>
      <c r="F1" s="12"/>
      <c r="G1" s="12"/>
      <c r="H1" s="12"/>
      <c r="I1" s="12"/>
      <c r="J1" s="12"/>
      <c r="K1" s="12"/>
      <c r="L1" s="12"/>
      <c r="M1" s="12"/>
      <c r="N1" s="12"/>
      <c r="O1" s="12"/>
    </row>
    <row r="2" spans="1:20" ht="35.25" customHeight="1" x14ac:dyDescent="0.25">
      <c r="A2" s="80" t="s">
        <v>158</v>
      </c>
      <c r="B2" s="80"/>
      <c r="C2" s="7"/>
      <c r="D2" s="12"/>
      <c r="E2" s="12"/>
      <c r="F2" s="12"/>
      <c r="G2" s="12"/>
      <c r="H2" s="3"/>
      <c r="I2" s="3"/>
      <c r="J2" s="3"/>
      <c r="K2" s="3"/>
      <c r="L2" s="12"/>
      <c r="M2" s="12"/>
      <c r="N2" s="12"/>
      <c r="O2" s="12"/>
    </row>
    <row r="3" spans="1:20" x14ac:dyDescent="0.25">
      <c r="D3" s="56"/>
      <c r="E3" s="12"/>
      <c r="F3" s="12"/>
      <c r="G3" s="12"/>
      <c r="H3" s="3"/>
      <c r="I3" s="3" t="s">
        <v>11</v>
      </c>
      <c r="J3" s="3" t="s">
        <v>29</v>
      </c>
      <c r="K3" s="3" t="s">
        <v>51</v>
      </c>
      <c r="L3" s="12"/>
      <c r="M3" s="12"/>
      <c r="N3" s="12"/>
      <c r="O3" s="12"/>
      <c r="P3" s="56"/>
      <c r="Q3" s="56"/>
      <c r="R3" s="56"/>
      <c r="S3" s="56"/>
      <c r="T3" s="56"/>
    </row>
    <row r="4" spans="1:20" x14ac:dyDescent="0.25">
      <c r="D4" s="56"/>
      <c r="E4" s="12"/>
      <c r="F4" s="12"/>
      <c r="G4" s="12"/>
      <c r="H4" s="3"/>
      <c r="I4" s="3" t="s">
        <v>12</v>
      </c>
      <c r="J4" s="3" t="s">
        <v>8</v>
      </c>
      <c r="K4" s="3" t="s">
        <v>52</v>
      </c>
      <c r="L4" s="12"/>
      <c r="M4" s="12"/>
      <c r="N4" s="12"/>
      <c r="O4" s="12"/>
      <c r="P4" s="56"/>
      <c r="Q4" s="56"/>
      <c r="R4" s="56"/>
      <c r="S4" s="56"/>
      <c r="T4" s="56"/>
    </row>
    <row r="5" spans="1:20" ht="25.15" customHeight="1" x14ac:dyDescent="0.25">
      <c r="A5" s="42" t="s">
        <v>159</v>
      </c>
      <c r="B5" s="43"/>
      <c r="D5" s="56"/>
      <c r="E5" s="12"/>
      <c r="F5" s="12"/>
      <c r="G5" s="12"/>
      <c r="H5" s="3"/>
      <c r="I5" s="3" t="s">
        <v>13</v>
      </c>
      <c r="J5" s="3" t="s">
        <v>30</v>
      </c>
      <c r="K5" s="3" t="s">
        <v>184</v>
      </c>
      <c r="L5" s="12"/>
      <c r="M5" s="12"/>
      <c r="N5" s="12"/>
      <c r="O5" s="12"/>
      <c r="P5" s="56"/>
      <c r="Q5" s="56"/>
      <c r="R5" s="56"/>
      <c r="S5" s="56"/>
      <c r="T5" s="56"/>
    </row>
    <row r="6" spans="1:20" ht="12" customHeight="1" x14ac:dyDescent="0.25">
      <c r="D6" s="56"/>
      <c r="E6" s="12"/>
      <c r="F6" s="12"/>
      <c r="G6" s="12"/>
      <c r="H6" s="3"/>
      <c r="I6" s="3" t="s">
        <v>14</v>
      </c>
      <c r="J6" s="3"/>
      <c r="K6" s="3" t="s">
        <v>67</v>
      </c>
      <c r="L6" s="12"/>
      <c r="M6" s="12"/>
      <c r="N6" s="12"/>
      <c r="O6" s="12"/>
      <c r="P6" s="56"/>
      <c r="Q6" s="56"/>
      <c r="R6" s="56"/>
      <c r="S6" s="56"/>
      <c r="T6" s="56"/>
    </row>
    <row r="7" spans="1:20" ht="89.25" customHeight="1" x14ac:dyDescent="0.25">
      <c r="A7" s="47"/>
      <c r="B7" s="55" t="s">
        <v>180</v>
      </c>
      <c r="D7" s="56"/>
      <c r="E7" s="12"/>
      <c r="F7" s="12"/>
      <c r="G7" s="12"/>
      <c r="H7" s="3"/>
      <c r="I7" s="3"/>
      <c r="J7" s="3"/>
      <c r="K7" s="3" t="s">
        <v>68</v>
      </c>
      <c r="L7" s="12"/>
      <c r="M7" s="12"/>
      <c r="N7" s="12"/>
      <c r="O7" s="12"/>
      <c r="P7" s="56"/>
      <c r="Q7" s="56"/>
      <c r="R7" s="56"/>
      <c r="S7" s="56"/>
      <c r="T7" s="56"/>
    </row>
    <row r="8" spans="1:20" ht="38.1" customHeight="1" x14ac:dyDescent="0.25">
      <c r="A8" s="47"/>
      <c r="B8" s="46" t="s">
        <v>185</v>
      </c>
      <c r="D8" s="56"/>
      <c r="E8" s="12"/>
      <c r="F8" s="12"/>
      <c r="G8" s="12"/>
      <c r="H8" s="3"/>
      <c r="I8" s="3"/>
      <c r="J8" s="3"/>
      <c r="K8" s="3" t="s">
        <v>189</v>
      </c>
      <c r="L8" s="12"/>
      <c r="M8" s="12"/>
      <c r="N8" s="12"/>
      <c r="O8" s="12"/>
      <c r="P8" s="56"/>
      <c r="Q8" s="56"/>
      <c r="R8" s="56"/>
      <c r="S8" s="56"/>
      <c r="T8" s="56"/>
    </row>
    <row r="9" spans="1:20" ht="30" customHeight="1" x14ac:dyDescent="0.25">
      <c r="A9" s="47" t="s">
        <v>166</v>
      </c>
      <c r="B9" s="46" t="s">
        <v>160</v>
      </c>
      <c r="D9" s="56"/>
      <c r="E9" s="12"/>
      <c r="F9" s="12"/>
      <c r="G9" s="12"/>
      <c r="H9" s="3"/>
      <c r="I9" s="3" t="s">
        <v>15</v>
      </c>
      <c r="J9" s="3" t="s">
        <v>182</v>
      </c>
      <c r="K9" s="3" t="s">
        <v>69</v>
      </c>
      <c r="L9" s="12"/>
      <c r="M9" s="12"/>
      <c r="N9" s="12"/>
      <c r="O9" s="12"/>
      <c r="P9" s="56"/>
      <c r="Q9" s="56"/>
      <c r="R9" s="56"/>
      <c r="S9" s="56"/>
      <c r="T9" s="56"/>
    </row>
    <row r="10" spans="1:20" ht="30" customHeight="1" x14ac:dyDescent="0.25">
      <c r="A10" s="47" t="s">
        <v>166</v>
      </c>
      <c r="B10" s="46" t="s">
        <v>161</v>
      </c>
      <c r="D10" s="56"/>
      <c r="E10" s="12"/>
      <c r="F10" s="12"/>
      <c r="G10" s="12"/>
      <c r="H10" s="3"/>
      <c r="I10" s="3" t="s">
        <v>16</v>
      </c>
      <c r="J10" s="3" t="s">
        <v>183</v>
      </c>
      <c r="K10" s="3"/>
      <c r="L10" s="12"/>
      <c r="M10" s="12"/>
      <c r="N10" s="12"/>
      <c r="O10" s="12"/>
      <c r="P10" s="56"/>
      <c r="Q10" s="56"/>
      <c r="R10" s="56"/>
      <c r="S10" s="56"/>
      <c r="T10" s="56"/>
    </row>
    <row r="11" spans="1:20" ht="30" customHeight="1" x14ac:dyDescent="0.25">
      <c r="A11" s="47" t="s">
        <v>166</v>
      </c>
      <c r="B11" s="46" t="s">
        <v>162</v>
      </c>
      <c r="D11" s="56"/>
      <c r="E11" s="12"/>
      <c r="F11" s="12"/>
      <c r="G11" s="12"/>
      <c r="H11" s="3"/>
      <c r="I11" s="3" t="s">
        <v>17</v>
      </c>
      <c r="J11" s="3"/>
      <c r="K11" s="3"/>
      <c r="L11" s="12"/>
      <c r="M11" s="12"/>
      <c r="N11" s="12"/>
      <c r="O11" s="12"/>
      <c r="P11" s="56"/>
      <c r="Q11" s="56"/>
      <c r="R11" s="56"/>
      <c r="S11" s="56"/>
      <c r="T11" s="56"/>
    </row>
    <row r="12" spans="1:20" ht="30" customHeight="1" x14ac:dyDescent="0.25">
      <c r="B12" s="41"/>
      <c r="D12" s="56"/>
      <c r="E12" s="12"/>
      <c r="F12" s="12"/>
      <c r="G12" s="12"/>
      <c r="H12" s="3"/>
      <c r="I12" s="3" t="s">
        <v>18</v>
      </c>
      <c r="J12" s="3"/>
      <c r="K12" s="3"/>
      <c r="L12" s="12"/>
      <c r="M12" s="12"/>
      <c r="N12" s="12"/>
      <c r="O12" s="12"/>
      <c r="P12" s="56"/>
      <c r="Q12" s="56"/>
      <c r="R12" s="56"/>
      <c r="S12" s="56"/>
      <c r="T12" s="56"/>
    </row>
    <row r="13" spans="1:20" ht="30" customHeight="1" x14ac:dyDescent="0.25">
      <c r="A13" s="44" t="s">
        <v>163</v>
      </c>
      <c r="B13" s="45"/>
      <c r="D13" s="56"/>
      <c r="E13" s="12"/>
      <c r="F13" s="12"/>
      <c r="G13" s="12"/>
      <c r="H13" s="3"/>
      <c r="I13" s="3" t="s">
        <v>19</v>
      </c>
      <c r="J13" s="3"/>
      <c r="K13" s="3"/>
      <c r="L13" s="12"/>
      <c r="M13" s="12"/>
      <c r="N13" s="12"/>
      <c r="O13" s="12"/>
      <c r="P13" s="56"/>
      <c r="Q13" s="56"/>
      <c r="R13" s="56"/>
      <c r="S13" s="56"/>
      <c r="T13" s="56"/>
    </row>
    <row r="14" spans="1:20" ht="30" customHeight="1" x14ac:dyDescent="0.25">
      <c r="B14" s="41"/>
      <c r="D14" s="56"/>
      <c r="E14" s="12"/>
      <c r="F14" s="12"/>
      <c r="G14" s="12"/>
      <c r="H14" s="3"/>
      <c r="I14" s="3" t="s">
        <v>20</v>
      </c>
      <c r="J14" s="3"/>
      <c r="K14" s="3"/>
      <c r="L14" s="12"/>
      <c r="M14" s="12"/>
      <c r="N14" s="12"/>
      <c r="O14" s="12"/>
      <c r="P14" s="56"/>
      <c r="Q14" s="56"/>
      <c r="R14" s="56"/>
      <c r="S14" s="56"/>
      <c r="T14" s="56"/>
    </row>
    <row r="15" spans="1:20" ht="30" customHeight="1" x14ac:dyDescent="0.25">
      <c r="A15" s="47" t="s">
        <v>166</v>
      </c>
      <c r="B15" s="46" t="s">
        <v>186</v>
      </c>
      <c r="D15" s="56"/>
      <c r="E15" s="12"/>
      <c r="F15" s="12"/>
      <c r="G15" s="12"/>
      <c r="H15" s="3"/>
      <c r="I15" s="3" t="s">
        <v>21</v>
      </c>
      <c r="J15" s="3"/>
      <c r="K15" s="3"/>
      <c r="L15" s="12"/>
      <c r="M15" s="12"/>
      <c r="N15" s="12"/>
      <c r="O15" s="12"/>
      <c r="P15" s="56"/>
      <c r="Q15" s="56"/>
      <c r="R15" s="56"/>
      <c r="S15" s="56"/>
      <c r="T15" s="56"/>
    </row>
    <row r="16" spans="1:20" ht="30" customHeight="1" x14ac:dyDescent="0.25">
      <c r="A16" s="47"/>
      <c r="B16" s="46" t="s">
        <v>187</v>
      </c>
      <c r="D16" s="56"/>
      <c r="E16" s="12"/>
      <c r="F16" s="12"/>
      <c r="G16" s="12"/>
      <c r="H16" s="3"/>
      <c r="I16" s="3"/>
      <c r="J16" s="3"/>
      <c r="K16" s="3"/>
      <c r="L16" s="12"/>
      <c r="M16" s="12"/>
      <c r="N16" s="12"/>
      <c r="O16" s="12"/>
      <c r="P16" s="56"/>
      <c r="Q16" s="56"/>
      <c r="R16" s="56"/>
      <c r="S16" s="56"/>
      <c r="T16" s="56"/>
    </row>
    <row r="17" spans="1:20" ht="30" customHeight="1" x14ac:dyDescent="0.25">
      <c r="A17" s="47" t="s">
        <v>166</v>
      </c>
      <c r="B17" s="46" t="s">
        <v>188</v>
      </c>
      <c r="D17" s="56"/>
      <c r="E17" s="12"/>
      <c r="F17" s="12"/>
      <c r="G17" s="12"/>
      <c r="H17" s="3"/>
      <c r="I17" s="3" t="s">
        <v>22</v>
      </c>
      <c r="J17" s="3"/>
      <c r="K17" s="3"/>
      <c r="L17" s="12"/>
      <c r="M17" s="12"/>
      <c r="N17" s="12"/>
      <c r="O17" s="12"/>
      <c r="P17" s="56"/>
      <c r="Q17" s="56"/>
      <c r="R17" s="56"/>
      <c r="S17" s="56"/>
      <c r="T17" s="56"/>
    </row>
    <row r="18" spans="1:20" ht="65.650000000000006" customHeight="1" x14ac:dyDescent="0.25">
      <c r="A18" s="47" t="s">
        <v>166</v>
      </c>
      <c r="B18" s="46" t="s">
        <v>164</v>
      </c>
      <c r="D18" s="56"/>
      <c r="E18" s="12"/>
      <c r="F18" s="12"/>
      <c r="G18" s="12"/>
      <c r="H18" s="3"/>
      <c r="I18" s="3" t="s">
        <v>23</v>
      </c>
      <c r="J18" s="3"/>
      <c r="K18" s="3"/>
      <c r="L18" s="12"/>
      <c r="M18" s="12"/>
      <c r="N18" s="12"/>
      <c r="O18" s="12"/>
      <c r="P18" s="56"/>
      <c r="Q18" s="56"/>
      <c r="R18" s="56"/>
      <c r="S18" s="56"/>
      <c r="T18" s="56"/>
    </row>
    <row r="19" spans="1:20" ht="30" customHeight="1" x14ac:dyDescent="0.25">
      <c r="A19" s="47" t="s">
        <v>166</v>
      </c>
      <c r="B19" s="46" t="s">
        <v>165</v>
      </c>
      <c r="D19" s="56"/>
      <c r="E19" s="12"/>
      <c r="F19" s="12"/>
      <c r="G19" s="12"/>
      <c r="H19" s="3"/>
      <c r="I19" s="3" t="s">
        <v>24</v>
      </c>
      <c r="J19" s="3"/>
      <c r="K19" s="3"/>
      <c r="L19" s="12"/>
      <c r="M19" s="12"/>
      <c r="N19" s="12"/>
      <c r="O19" s="12"/>
      <c r="P19" s="56"/>
      <c r="Q19" s="56"/>
      <c r="R19" s="56"/>
      <c r="S19" s="56"/>
      <c r="T19" s="56"/>
    </row>
    <row r="20" spans="1:20" x14ac:dyDescent="0.25">
      <c r="D20" s="56"/>
      <c r="E20" s="12"/>
      <c r="F20" s="12"/>
      <c r="G20" s="12"/>
      <c r="H20" s="3"/>
      <c r="I20" s="3" t="s">
        <v>25</v>
      </c>
      <c r="J20" s="3"/>
      <c r="K20" s="3"/>
      <c r="L20" s="12"/>
      <c r="M20" s="12"/>
      <c r="N20" s="12"/>
      <c r="O20" s="12"/>
      <c r="P20" s="56"/>
      <c r="Q20" s="56"/>
      <c r="R20" s="56"/>
      <c r="S20" s="56"/>
      <c r="T20" s="56"/>
    </row>
    <row r="21" spans="1:20" ht="25.15" customHeight="1" x14ac:dyDescent="0.25">
      <c r="A21" s="48" t="s">
        <v>171</v>
      </c>
      <c r="B21" s="49"/>
      <c r="D21" s="56"/>
      <c r="E21" s="12"/>
      <c r="F21" s="12"/>
      <c r="G21" s="12"/>
      <c r="H21" s="3"/>
      <c r="I21" s="3" t="s">
        <v>26</v>
      </c>
      <c r="J21" s="3"/>
      <c r="K21" s="3"/>
      <c r="L21" s="12"/>
      <c r="M21" s="12"/>
      <c r="N21" s="12"/>
      <c r="O21" s="12"/>
      <c r="P21" s="56"/>
      <c r="Q21" s="56"/>
      <c r="R21" s="56"/>
      <c r="S21" s="56"/>
      <c r="T21" s="56"/>
    </row>
    <row r="22" spans="1:20" x14ac:dyDescent="0.25">
      <c r="D22" s="56"/>
      <c r="E22" s="12"/>
      <c r="F22" s="12"/>
      <c r="G22" s="12"/>
      <c r="H22" s="3"/>
      <c r="I22" s="3" t="s">
        <v>27</v>
      </c>
      <c r="J22" s="3"/>
      <c r="K22" s="3"/>
      <c r="L22" s="12"/>
      <c r="M22" s="12"/>
      <c r="N22" s="12"/>
      <c r="O22" s="12"/>
      <c r="P22" s="56"/>
      <c r="Q22" s="56"/>
      <c r="R22" s="56"/>
      <c r="S22" s="56"/>
      <c r="T22" s="56"/>
    </row>
    <row r="23" spans="1:20" x14ac:dyDescent="0.25">
      <c r="D23" s="56"/>
      <c r="E23" s="12"/>
      <c r="F23" s="12"/>
      <c r="G23" s="12"/>
      <c r="H23" s="3"/>
      <c r="I23" s="3" t="s">
        <v>28</v>
      </c>
      <c r="J23" s="3"/>
      <c r="K23" s="3"/>
      <c r="L23" s="12"/>
      <c r="M23" s="12"/>
      <c r="N23" s="12"/>
      <c r="O23" s="12"/>
      <c r="P23" s="56"/>
      <c r="Q23" s="56"/>
      <c r="R23" s="56"/>
      <c r="S23" s="56"/>
      <c r="T23" s="56"/>
    </row>
    <row r="24" spans="1:20" ht="25.15" customHeight="1" x14ac:dyDescent="0.25">
      <c r="A24" s="50"/>
      <c r="B24" s="51" t="s">
        <v>179</v>
      </c>
      <c r="D24" s="56"/>
      <c r="E24" s="12"/>
      <c r="F24" s="12"/>
      <c r="G24" s="12"/>
      <c r="H24" s="3"/>
      <c r="I24" s="3" t="s">
        <v>47</v>
      </c>
      <c r="J24" s="3"/>
      <c r="K24" s="3"/>
      <c r="L24" s="12"/>
      <c r="M24" s="12"/>
      <c r="N24" s="12"/>
      <c r="O24" s="12"/>
      <c r="P24" s="56"/>
      <c r="Q24" s="56"/>
      <c r="R24" s="56"/>
      <c r="S24" s="56"/>
      <c r="T24" s="56"/>
    </row>
    <row r="25" spans="1:20" ht="25.15" customHeight="1" x14ac:dyDescent="0.25">
      <c r="B25" s="52" t="s">
        <v>172</v>
      </c>
      <c r="D25" s="56"/>
      <c r="E25" s="12"/>
      <c r="F25" s="12"/>
      <c r="G25" s="12"/>
      <c r="H25" s="3"/>
      <c r="I25" s="3" t="s">
        <v>48</v>
      </c>
      <c r="J25" s="3"/>
      <c r="K25" s="3"/>
      <c r="L25" s="12"/>
      <c r="M25" s="12"/>
      <c r="N25" s="12"/>
      <c r="O25" s="12"/>
      <c r="P25" s="56"/>
      <c r="Q25" s="56"/>
      <c r="R25" s="56"/>
      <c r="S25" s="56"/>
      <c r="T25" s="56"/>
    </row>
    <row r="26" spans="1:20" x14ac:dyDescent="0.25">
      <c r="D26" s="56"/>
      <c r="E26" s="12"/>
      <c r="F26" s="12"/>
      <c r="G26" s="12"/>
      <c r="H26" s="3"/>
      <c r="I26" s="3" t="s">
        <v>49</v>
      </c>
      <c r="J26" s="3"/>
      <c r="K26" s="3"/>
      <c r="L26" s="12"/>
      <c r="M26" s="12"/>
      <c r="N26" s="12"/>
      <c r="O26" s="12"/>
      <c r="P26" s="56"/>
      <c r="Q26" s="56"/>
      <c r="R26" s="56"/>
      <c r="S26" s="56"/>
      <c r="T26" s="56"/>
    </row>
    <row r="27" spans="1:20" ht="25.15" customHeight="1" x14ac:dyDescent="0.25">
      <c r="B27" s="51" t="s">
        <v>173</v>
      </c>
      <c r="D27" s="56"/>
      <c r="E27" s="12"/>
      <c r="F27" s="12"/>
      <c r="G27" s="12"/>
      <c r="H27" s="3"/>
      <c r="I27" s="3" t="s">
        <v>50</v>
      </c>
      <c r="J27" s="3"/>
      <c r="K27" s="3"/>
      <c r="L27" s="12"/>
      <c r="M27" s="12"/>
      <c r="N27" s="12"/>
      <c r="O27" s="12"/>
      <c r="P27" s="56"/>
      <c r="Q27" s="56"/>
      <c r="R27" s="56"/>
      <c r="S27" s="56"/>
      <c r="T27" s="56"/>
    </row>
    <row r="28" spans="1:20" ht="25.15" customHeight="1" x14ac:dyDescent="0.25">
      <c r="B28" s="52" t="s">
        <v>58</v>
      </c>
      <c r="D28" s="56"/>
      <c r="E28" s="12"/>
      <c r="F28" s="12"/>
      <c r="G28" s="12"/>
      <c r="H28" s="3"/>
      <c r="I28" s="3" t="s">
        <v>43</v>
      </c>
      <c r="J28" s="3"/>
      <c r="K28" s="3"/>
      <c r="L28" s="12"/>
      <c r="M28" s="12"/>
      <c r="N28" s="12"/>
      <c r="O28" s="12"/>
      <c r="P28" s="56"/>
      <c r="Q28" s="56"/>
      <c r="R28" s="56"/>
      <c r="S28" s="56"/>
      <c r="T28" s="56"/>
    </row>
    <row r="29" spans="1:20" x14ac:dyDescent="0.25">
      <c r="D29" s="56"/>
      <c r="E29" s="12"/>
      <c r="F29" s="12"/>
      <c r="G29" s="12"/>
      <c r="H29" s="3"/>
      <c r="I29" s="3" t="s">
        <v>44</v>
      </c>
      <c r="J29" s="3"/>
      <c r="K29" s="3"/>
      <c r="L29" s="12"/>
      <c r="M29" s="12"/>
      <c r="N29" s="12"/>
      <c r="O29" s="12"/>
      <c r="P29" s="56"/>
      <c r="Q29" s="56"/>
      <c r="R29" s="56"/>
      <c r="S29" s="56"/>
      <c r="T29" s="56"/>
    </row>
    <row r="30" spans="1:20" x14ac:dyDescent="0.25">
      <c r="D30" s="56"/>
      <c r="E30" s="12"/>
      <c r="F30" s="12"/>
      <c r="G30" s="12"/>
      <c r="H30" s="3"/>
      <c r="I30" s="3"/>
      <c r="J30" s="3"/>
      <c r="K30" s="3"/>
      <c r="L30" s="12"/>
      <c r="M30" s="12"/>
      <c r="N30" s="12"/>
      <c r="O30" s="12"/>
      <c r="P30" s="56"/>
      <c r="Q30" s="56"/>
      <c r="R30" s="56"/>
      <c r="S30" s="56"/>
      <c r="T30" s="56"/>
    </row>
    <row r="31" spans="1:20" x14ac:dyDescent="0.25">
      <c r="D31" s="56"/>
      <c r="E31" s="12"/>
      <c r="F31" s="12"/>
      <c r="G31" s="12"/>
      <c r="H31" s="3"/>
      <c r="I31" s="3"/>
      <c r="J31" s="3"/>
      <c r="K31" s="3"/>
      <c r="L31" s="12"/>
      <c r="M31" s="12"/>
      <c r="N31" s="12"/>
      <c r="O31" s="12"/>
      <c r="P31" s="56"/>
      <c r="Q31" s="56"/>
      <c r="R31" s="56"/>
      <c r="S31" s="56"/>
      <c r="T31" s="56"/>
    </row>
    <row r="32" spans="1:20" x14ac:dyDescent="0.25">
      <c r="D32" s="56"/>
      <c r="E32" s="12"/>
      <c r="F32" s="12"/>
      <c r="G32" s="12"/>
      <c r="H32" s="3"/>
      <c r="I32" s="3"/>
      <c r="J32" s="3"/>
      <c r="K32" s="3"/>
      <c r="L32" s="12"/>
      <c r="M32" s="12"/>
      <c r="N32" s="12"/>
      <c r="O32" s="12"/>
      <c r="P32" s="56"/>
      <c r="Q32" s="56"/>
      <c r="R32" s="56"/>
      <c r="S32" s="56"/>
      <c r="T32" s="56"/>
    </row>
    <row r="33" spans="4:20" x14ac:dyDescent="0.25">
      <c r="D33" s="56"/>
      <c r="E33" s="12"/>
      <c r="F33" s="12"/>
      <c r="G33" s="12"/>
      <c r="H33" s="3"/>
      <c r="I33" s="3"/>
      <c r="J33" s="3"/>
      <c r="K33" s="3"/>
      <c r="L33" s="12"/>
      <c r="M33" s="12"/>
      <c r="N33" s="12"/>
      <c r="O33" s="12"/>
      <c r="P33" s="56"/>
      <c r="Q33" s="56"/>
      <c r="R33" s="56"/>
      <c r="S33" s="56"/>
      <c r="T33" s="56"/>
    </row>
    <row r="34" spans="4:20" x14ac:dyDescent="0.25">
      <c r="D34" s="56"/>
      <c r="E34" s="12"/>
      <c r="F34" s="12"/>
      <c r="G34" s="12"/>
      <c r="H34" s="3"/>
      <c r="I34" s="3"/>
      <c r="J34" s="3"/>
      <c r="K34" s="3"/>
      <c r="L34" s="12"/>
      <c r="M34" s="12"/>
      <c r="N34" s="12"/>
      <c r="O34" s="12"/>
      <c r="P34" s="56"/>
      <c r="Q34" s="56"/>
      <c r="R34" s="56"/>
      <c r="S34" s="56"/>
      <c r="T34" s="56"/>
    </row>
    <row r="35" spans="4:20" x14ac:dyDescent="0.25">
      <c r="D35" s="56"/>
      <c r="E35" s="12"/>
      <c r="F35" s="12"/>
      <c r="G35" s="12"/>
      <c r="H35" s="3"/>
      <c r="I35" s="3"/>
      <c r="J35" s="3"/>
      <c r="K35" s="3"/>
      <c r="L35" s="12"/>
      <c r="M35" s="12"/>
      <c r="N35" s="12"/>
      <c r="O35" s="12"/>
      <c r="P35" s="56"/>
      <c r="Q35" s="56"/>
      <c r="R35" s="56"/>
      <c r="S35" s="56"/>
      <c r="T35" s="56"/>
    </row>
    <row r="36" spans="4:20" x14ac:dyDescent="0.25">
      <c r="D36" s="56"/>
      <c r="E36" s="12"/>
      <c r="F36" s="12"/>
      <c r="G36" s="12"/>
      <c r="H36" s="12"/>
      <c r="I36" s="12"/>
      <c r="J36" s="12"/>
      <c r="K36" s="12"/>
      <c r="L36" s="12"/>
      <c r="M36" s="12"/>
      <c r="N36" s="12"/>
      <c r="O36" s="12"/>
      <c r="P36" s="56"/>
      <c r="Q36" s="56"/>
      <c r="R36" s="56"/>
      <c r="S36" s="56"/>
      <c r="T36" s="56"/>
    </row>
    <row r="37" spans="4:20" x14ac:dyDescent="0.25">
      <c r="D37" s="56"/>
      <c r="E37" s="12"/>
      <c r="F37" s="12"/>
      <c r="G37" s="12"/>
      <c r="H37" s="12"/>
      <c r="I37" s="12"/>
      <c r="J37" s="12"/>
      <c r="K37" s="12"/>
      <c r="L37" s="12"/>
      <c r="M37" s="12"/>
      <c r="N37" s="12"/>
      <c r="O37" s="12"/>
      <c r="P37" s="56"/>
      <c r="Q37" s="56"/>
      <c r="R37" s="56"/>
      <c r="S37" s="56"/>
      <c r="T37" s="56"/>
    </row>
    <row r="38" spans="4:20" x14ac:dyDescent="0.25">
      <c r="D38" s="56"/>
      <c r="E38" s="56"/>
      <c r="F38" s="56"/>
      <c r="G38" s="56"/>
      <c r="H38" s="3"/>
      <c r="I38" s="3"/>
      <c r="J38" s="3"/>
      <c r="K38" s="3"/>
      <c r="L38" s="3"/>
      <c r="M38" s="3"/>
      <c r="N38" s="3"/>
      <c r="O38" s="56"/>
      <c r="P38" s="56"/>
      <c r="Q38" s="56"/>
      <c r="R38" s="56"/>
      <c r="S38" s="56"/>
      <c r="T38" s="56"/>
    </row>
    <row r="39" spans="4:20" x14ac:dyDescent="0.25">
      <c r="D39" s="56"/>
      <c r="E39" s="56"/>
      <c r="F39" s="56"/>
      <c r="G39" s="56"/>
      <c r="H39" s="3"/>
      <c r="I39" s="3"/>
      <c r="J39" s="3"/>
      <c r="K39" s="3"/>
      <c r="L39" s="3"/>
      <c r="M39" s="3"/>
      <c r="N39" s="3"/>
      <c r="O39" s="56"/>
      <c r="P39" s="56"/>
      <c r="Q39" s="56"/>
      <c r="R39" s="56"/>
      <c r="S39" s="56"/>
      <c r="T39" s="56"/>
    </row>
    <row r="40" spans="4:20" x14ac:dyDescent="0.25">
      <c r="D40" s="56"/>
      <c r="E40" s="56"/>
      <c r="F40" s="56"/>
      <c r="G40" s="56"/>
      <c r="H40" s="3"/>
      <c r="I40" s="3"/>
      <c r="J40" s="3"/>
      <c r="K40" s="3"/>
      <c r="L40" s="3"/>
      <c r="M40" s="3"/>
      <c r="N40" s="3"/>
      <c r="O40" s="56"/>
      <c r="P40" s="56"/>
      <c r="Q40" s="56"/>
      <c r="R40" s="56"/>
      <c r="S40" s="56"/>
      <c r="T40" s="56"/>
    </row>
    <row r="41" spans="4:20" x14ac:dyDescent="0.25">
      <c r="D41" s="56"/>
      <c r="E41" s="56"/>
      <c r="F41" s="56"/>
      <c r="G41" s="56"/>
      <c r="H41" s="3"/>
      <c r="I41" s="3"/>
      <c r="J41" s="3"/>
      <c r="K41" s="3"/>
      <c r="L41" s="3"/>
      <c r="M41" s="3"/>
      <c r="N41" s="3"/>
      <c r="O41" s="56"/>
      <c r="P41" s="56"/>
      <c r="Q41" s="56"/>
      <c r="R41" s="56"/>
      <c r="S41" s="56"/>
      <c r="T41" s="56"/>
    </row>
    <row r="42" spans="4:20" x14ac:dyDescent="0.25">
      <c r="D42" s="56"/>
      <c r="E42" s="56"/>
      <c r="F42" s="56"/>
      <c r="G42" s="56"/>
      <c r="H42" s="3"/>
      <c r="I42" s="3"/>
      <c r="J42" s="3"/>
      <c r="K42" s="3"/>
      <c r="L42" s="3"/>
      <c r="M42" s="3"/>
      <c r="N42" s="3"/>
      <c r="O42" s="56"/>
      <c r="P42" s="56"/>
      <c r="Q42" s="56"/>
      <c r="R42" s="56"/>
      <c r="S42" s="56"/>
      <c r="T42" s="56"/>
    </row>
    <row r="43" spans="4:20" x14ac:dyDescent="0.25">
      <c r="D43" s="56"/>
      <c r="E43" s="56"/>
      <c r="F43" s="56"/>
      <c r="G43" s="56"/>
      <c r="H43" s="3"/>
      <c r="I43" s="3"/>
      <c r="J43" s="3"/>
      <c r="K43" s="3"/>
      <c r="L43" s="3"/>
      <c r="M43" s="3"/>
      <c r="N43" s="3"/>
      <c r="O43" s="56"/>
      <c r="P43" s="56"/>
      <c r="Q43" s="56"/>
      <c r="R43" s="56"/>
      <c r="S43" s="56"/>
      <c r="T43" s="56"/>
    </row>
    <row r="44" spans="4:20" x14ac:dyDescent="0.25">
      <c r="D44" s="56"/>
      <c r="E44" s="56"/>
      <c r="F44" s="56"/>
      <c r="G44" s="56"/>
      <c r="H44" s="3"/>
      <c r="I44" s="3"/>
      <c r="J44" s="3"/>
      <c r="K44" s="3"/>
      <c r="L44" s="3"/>
      <c r="M44" s="3"/>
      <c r="N44" s="3"/>
      <c r="O44" s="56"/>
      <c r="P44" s="56"/>
      <c r="Q44" s="56"/>
      <c r="R44" s="56"/>
      <c r="S44" s="56"/>
      <c r="T44" s="56"/>
    </row>
    <row r="45" spans="4:20" x14ac:dyDescent="0.25">
      <c r="D45" s="56"/>
      <c r="E45" s="56"/>
      <c r="F45" s="56"/>
      <c r="G45" s="56"/>
      <c r="H45" s="3"/>
      <c r="I45" s="3"/>
      <c r="J45" s="3"/>
      <c r="K45" s="3"/>
      <c r="L45" s="3"/>
      <c r="M45" s="3"/>
      <c r="N45" s="3"/>
      <c r="O45" s="56"/>
      <c r="P45" s="56"/>
      <c r="Q45" s="56"/>
      <c r="R45" s="56"/>
      <c r="S45" s="56"/>
      <c r="T45" s="56"/>
    </row>
    <row r="46" spans="4:20" x14ac:dyDescent="0.25">
      <c r="D46" s="56"/>
      <c r="E46" s="56"/>
      <c r="F46" s="56"/>
      <c r="G46" s="56"/>
      <c r="H46" s="3"/>
      <c r="I46" s="3"/>
      <c r="J46" s="3"/>
      <c r="K46" s="3"/>
      <c r="L46" s="3"/>
      <c r="M46" s="3"/>
      <c r="N46" s="3"/>
      <c r="O46" s="56"/>
      <c r="P46" s="56"/>
      <c r="Q46" s="56"/>
      <c r="R46" s="56"/>
      <c r="S46" s="56"/>
      <c r="T46" s="56"/>
    </row>
    <row r="47" spans="4:20" x14ac:dyDescent="0.25">
      <c r="D47" s="56"/>
      <c r="E47" s="56"/>
      <c r="F47" s="56"/>
      <c r="G47" s="56"/>
      <c r="H47" s="3"/>
      <c r="I47" s="3"/>
      <c r="J47" s="3"/>
      <c r="K47" s="3"/>
      <c r="L47" s="3"/>
      <c r="M47" s="3"/>
      <c r="N47" s="3"/>
      <c r="O47" s="56"/>
      <c r="P47" s="56"/>
      <c r="Q47" s="56"/>
      <c r="R47" s="56"/>
      <c r="S47" s="56"/>
      <c r="T47" s="56"/>
    </row>
    <row r="48" spans="4:20" x14ac:dyDescent="0.25">
      <c r="D48" s="56"/>
      <c r="E48" s="56"/>
      <c r="F48" s="56"/>
      <c r="G48" s="56"/>
      <c r="H48" s="3"/>
      <c r="I48" s="3"/>
      <c r="J48" s="3"/>
      <c r="K48" s="3"/>
      <c r="L48" s="3"/>
      <c r="M48" s="3"/>
      <c r="N48" s="3"/>
      <c r="O48" s="56"/>
      <c r="P48" s="56"/>
      <c r="Q48" s="56"/>
      <c r="R48" s="56"/>
      <c r="S48" s="56"/>
      <c r="T48" s="56"/>
    </row>
    <row r="49" spans="4:20" x14ac:dyDescent="0.25">
      <c r="D49" s="56"/>
      <c r="E49" s="56"/>
      <c r="F49" s="56"/>
      <c r="G49" s="56"/>
      <c r="H49" s="3"/>
      <c r="I49" s="3"/>
      <c r="J49" s="3"/>
      <c r="K49" s="3"/>
      <c r="L49" s="3"/>
      <c r="M49" s="3"/>
      <c r="N49" s="3"/>
      <c r="O49" s="56"/>
      <c r="P49" s="56"/>
      <c r="Q49" s="56"/>
      <c r="R49" s="56"/>
      <c r="S49" s="56"/>
      <c r="T49" s="56"/>
    </row>
    <row r="50" spans="4:20" x14ac:dyDescent="0.25">
      <c r="D50" s="56"/>
      <c r="E50" s="56"/>
      <c r="F50" s="56"/>
      <c r="G50" s="56"/>
      <c r="H50" s="3"/>
      <c r="I50" s="3"/>
      <c r="J50" s="3"/>
      <c r="K50" s="3"/>
      <c r="L50" s="3"/>
      <c r="M50" s="3"/>
      <c r="N50" s="3"/>
      <c r="O50" s="56"/>
      <c r="P50" s="56"/>
      <c r="Q50" s="56"/>
      <c r="R50" s="56"/>
      <c r="S50" s="56"/>
      <c r="T50" s="56"/>
    </row>
    <row r="51" spans="4:20" x14ac:dyDescent="0.25">
      <c r="D51" s="56"/>
      <c r="E51" s="56"/>
      <c r="F51" s="56"/>
      <c r="G51" s="56"/>
      <c r="H51" s="56"/>
      <c r="I51" s="56"/>
      <c r="J51" s="56"/>
      <c r="K51" s="56"/>
      <c r="L51" s="56"/>
      <c r="M51" s="56"/>
      <c r="N51" s="56"/>
      <c r="O51" s="56"/>
      <c r="P51" s="56"/>
      <c r="Q51" s="56"/>
      <c r="R51" s="56"/>
      <c r="S51" s="56"/>
      <c r="T51" s="56"/>
    </row>
    <row r="52" spans="4:20" x14ac:dyDescent="0.25">
      <c r="D52" s="56"/>
      <c r="E52" s="56"/>
      <c r="F52" s="56"/>
      <c r="G52" s="56"/>
      <c r="H52" s="56"/>
      <c r="I52" s="56"/>
      <c r="J52" s="56"/>
      <c r="K52" s="56"/>
      <c r="L52" s="56"/>
      <c r="M52" s="56"/>
      <c r="N52" s="56"/>
      <c r="O52" s="56"/>
      <c r="P52" s="56"/>
      <c r="Q52" s="56"/>
      <c r="R52" s="56"/>
      <c r="S52" s="56"/>
      <c r="T52" s="56"/>
    </row>
    <row r="53" spans="4:20" x14ac:dyDescent="0.25">
      <c r="D53" s="56"/>
      <c r="E53" s="56"/>
      <c r="F53" s="56"/>
      <c r="G53" s="56"/>
      <c r="H53" s="56"/>
      <c r="I53" s="56"/>
      <c r="J53" s="56"/>
      <c r="K53" s="56"/>
      <c r="L53" s="56"/>
      <c r="M53" s="56"/>
      <c r="N53" s="56"/>
      <c r="O53" s="56"/>
      <c r="P53" s="56"/>
      <c r="Q53" s="56"/>
      <c r="R53" s="56"/>
      <c r="S53" s="56"/>
      <c r="T53" s="56"/>
    </row>
    <row r="54" spans="4:20" x14ac:dyDescent="0.25">
      <c r="D54" s="56"/>
      <c r="E54" s="56"/>
      <c r="F54" s="56"/>
      <c r="G54" s="56"/>
      <c r="H54" s="56"/>
      <c r="I54" s="56"/>
      <c r="J54" s="56"/>
      <c r="K54" s="56"/>
      <c r="L54" s="56"/>
      <c r="M54" s="56"/>
      <c r="N54" s="56"/>
      <c r="O54" s="56"/>
      <c r="P54" s="56"/>
      <c r="Q54" s="56"/>
      <c r="R54" s="56"/>
      <c r="S54" s="56"/>
      <c r="T54" s="56"/>
    </row>
    <row r="55" spans="4:20" x14ac:dyDescent="0.25">
      <c r="D55" s="56"/>
      <c r="E55" s="56"/>
      <c r="F55" s="56"/>
      <c r="G55" s="56"/>
      <c r="H55" s="56"/>
      <c r="I55" s="56"/>
      <c r="J55" s="56"/>
      <c r="K55" s="56"/>
      <c r="L55" s="56"/>
      <c r="M55" s="56"/>
      <c r="N55" s="56"/>
      <c r="O55" s="56"/>
      <c r="P55" s="56"/>
      <c r="Q55" s="56"/>
      <c r="R55" s="56"/>
      <c r="S55" s="56"/>
      <c r="T55" s="56"/>
    </row>
  </sheetData>
  <mergeCells count="1">
    <mergeCell ref="A2:B2"/>
  </mergeCells>
  <hyperlinks>
    <hyperlink ref="B28" r:id="rId1"/>
    <hyperlink ref="B25" r:id="rId2"/>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Behr, Alexander</cp:lastModifiedBy>
  <dcterms:created xsi:type="dcterms:W3CDTF">2021-02-26T11:30:40Z</dcterms:created>
  <dcterms:modified xsi:type="dcterms:W3CDTF">2023-12-22T09:42:12Z</dcterms:modified>
</cp:coreProperties>
</file>